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63F3B955-25D8-4153-AD54-BBD10B0A694C}" xr6:coauthVersionLast="41" xr6:coauthVersionMax="41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Sheet1!$A$2:$AL$2</definedName>
  </definedNames>
  <calcPr calcId="191029"/>
</workbook>
</file>

<file path=xl/calcChain.xml><?xml version="1.0" encoding="utf-8"?>
<calcChain xmlns="http://schemas.openxmlformats.org/spreadsheetml/2006/main">
  <c r="L26" i="1" l="1"/>
  <c r="L29" i="1"/>
  <c r="L5" i="1"/>
  <c r="L13" i="1"/>
  <c r="L27" i="1"/>
  <c r="L31" i="1"/>
  <c r="L6" i="1"/>
  <c r="L28" i="1"/>
  <c r="L21" i="1"/>
  <c r="L20" i="1"/>
  <c r="L32" i="1"/>
  <c r="L8" i="1"/>
  <c r="L33" i="1"/>
  <c r="L34" i="1"/>
  <c r="L35" i="1"/>
  <c r="L36" i="1"/>
  <c r="L37" i="1"/>
  <c r="L9" i="1"/>
  <c r="L19" i="1"/>
  <c r="L30" i="1"/>
  <c r="L23" i="1"/>
  <c r="L18" i="1"/>
  <c r="L10" i="1"/>
  <c r="L7" i="1"/>
  <c r="L22" i="1"/>
  <c r="L14" i="1"/>
  <c r="L16" i="1"/>
  <c r="L12" i="1"/>
  <c r="L17" i="1"/>
  <c r="L4" i="1"/>
  <c r="L25" i="1"/>
  <c r="L24" i="1"/>
  <c r="L11" i="1"/>
  <c r="L15" i="1"/>
  <c r="L3" i="1"/>
  <c r="R8" i="1"/>
  <c r="R13" i="1"/>
  <c r="R19" i="1"/>
  <c r="R22" i="1"/>
  <c r="R33" i="1"/>
  <c r="R34" i="1"/>
  <c r="R35" i="1"/>
  <c r="R36" i="1"/>
  <c r="R37" i="1"/>
  <c r="R21" i="1"/>
  <c r="R15" i="1"/>
  <c r="R29" i="1"/>
  <c r="R3" i="1"/>
  <c r="R26" i="1"/>
  <c r="R10" i="1"/>
  <c r="R11" i="1"/>
  <c r="R18" i="1"/>
  <c r="R5" i="1"/>
  <c r="R9" i="1"/>
  <c r="R7" i="1"/>
  <c r="R17" i="1"/>
  <c r="R31" i="1"/>
  <c r="R24" i="1"/>
  <c r="R4" i="1"/>
  <c r="R27" i="1"/>
  <c r="R30" i="1"/>
  <c r="R32" i="1"/>
  <c r="R12" i="1"/>
  <c r="R16" i="1"/>
  <c r="R25" i="1"/>
  <c r="R28" i="1"/>
  <c r="R23" i="1"/>
  <c r="R6" i="1"/>
  <c r="R14" i="1"/>
  <c r="R20" i="1"/>
  <c r="O20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I2" i="2"/>
  <c r="G2" i="2"/>
  <c r="F2" i="2"/>
  <c r="I1" i="2"/>
  <c r="G1" i="2"/>
  <c r="F1" i="2"/>
  <c r="I4" i="1"/>
  <c r="G4" i="1"/>
  <c r="F4" i="1"/>
  <c r="I14" i="1"/>
  <c r="G14" i="1"/>
  <c r="F14" i="1"/>
  <c r="I12" i="1"/>
  <c r="G12" i="1"/>
  <c r="F12" i="1"/>
  <c r="I32" i="1"/>
  <c r="G32" i="1"/>
  <c r="F32" i="1"/>
  <c r="I28" i="1"/>
  <c r="G28" i="1"/>
  <c r="F28" i="1"/>
  <c r="I21" i="1"/>
  <c r="G21" i="1"/>
  <c r="F21" i="1"/>
  <c r="I17" i="1"/>
  <c r="G17" i="1"/>
  <c r="F17" i="1"/>
  <c r="I35" i="1"/>
  <c r="G35" i="1"/>
  <c r="F35" i="1"/>
  <c r="I24" i="1"/>
  <c r="G24" i="1"/>
  <c r="F24" i="1"/>
  <c r="I22" i="1"/>
  <c r="G22" i="1"/>
  <c r="F22" i="1"/>
  <c r="I31" i="1"/>
  <c r="G31" i="1"/>
  <c r="F31" i="1"/>
  <c r="I16" i="1"/>
  <c r="G16" i="1"/>
  <c r="F16" i="1"/>
  <c r="I15" i="1"/>
  <c r="G15" i="1"/>
  <c r="F15" i="1"/>
  <c r="I37" i="1"/>
  <c r="G37" i="1"/>
  <c r="F37" i="1"/>
  <c r="I10" i="1"/>
  <c r="G10" i="1"/>
  <c r="F10" i="1"/>
  <c r="I20" i="1"/>
  <c r="G20" i="1"/>
  <c r="F20" i="1"/>
  <c r="I9" i="1"/>
  <c r="G9" i="1"/>
  <c r="F9" i="1"/>
  <c r="I30" i="1"/>
  <c r="G30" i="1"/>
  <c r="F30" i="1"/>
  <c r="I27" i="1"/>
  <c r="G27" i="1"/>
  <c r="F27" i="1"/>
  <c r="I23" i="1"/>
  <c r="G23" i="1"/>
  <c r="F23" i="1"/>
  <c r="I33" i="1"/>
  <c r="G33" i="1"/>
  <c r="F33" i="1"/>
  <c r="I18" i="1"/>
  <c r="G18" i="1"/>
  <c r="F18" i="1"/>
  <c r="I11" i="1"/>
  <c r="G11" i="1"/>
  <c r="F11" i="1"/>
  <c r="I5" i="1"/>
  <c r="G5" i="1"/>
  <c r="F5" i="1"/>
  <c r="I19" i="1"/>
  <c r="G19" i="1"/>
  <c r="F19" i="1"/>
  <c r="I34" i="1"/>
  <c r="G34" i="1"/>
  <c r="F34" i="1"/>
  <c r="I7" i="1"/>
  <c r="G7" i="1"/>
  <c r="F7" i="1"/>
  <c r="I13" i="1"/>
  <c r="G13" i="1"/>
  <c r="F13" i="1"/>
  <c r="I6" i="1"/>
  <c r="G6" i="1"/>
  <c r="F6" i="1"/>
  <c r="I29" i="1"/>
  <c r="G29" i="1"/>
  <c r="F29" i="1"/>
  <c r="I25" i="1"/>
  <c r="G25" i="1"/>
  <c r="F25" i="1"/>
  <c r="I26" i="1"/>
  <c r="G26" i="1"/>
  <c r="F26" i="1"/>
  <c r="I36" i="1"/>
  <c r="G36" i="1"/>
  <c r="F36" i="1"/>
  <c r="I3" i="1"/>
  <c r="G3" i="1"/>
  <c r="F3" i="1"/>
  <c r="I8" i="1"/>
  <c r="G8" i="1"/>
  <c r="F8" i="1"/>
</calcChain>
</file>

<file path=xl/sharedStrings.xml><?xml version="1.0" encoding="utf-8"?>
<sst xmlns="http://schemas.openxmlformats.org/spreadsheetml/2006/main" count="250" uniqueCount="106">
  <si>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</si>
  <si>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</si>
  <si>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</si>
  <si>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</si>
  <si>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</si>
  <si>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</si>
  <si>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</si>
  <si>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Chi</t>
  </si>
  <si>
    <t>Thu</t>
  </si>
  <si>
    <t>Lãi/Lỗ</t>
  </si>
  <si>
    <t>% thu hồi</t>
  </si>
  <si>
    <t>Tất cả vé&gt;=3</t>
  </si>
  <si>
    <t>Tất cả  +1</t>
  </si>
  <si>
    <t>3+</t>
  </si>
  <si>
    <t>4+</t>
  </si>
  <si>
    <t>5+</t>
  </si>
  <si>
    <t>+</t>
  </si>
  <si>
    <t>Thu 
&lt;80%</t>
  </si>
  <si>
    <t>Tỉ lệ
&lt;80%</t>
  </si>
  <si>
    <t>Thu 
&gt;90%</t>
  </si>
  <si>
    <t>Tỉ lệ
&gt;90%</t>
  </si>
  <si>
    <t>Tổng  3</t>
  </si>
  <si>
    <t>Tổng 4</t>
  </si>
  <si>
    <t>Tổng 5</t>
  </si>
  <si>
    <t>100-350</t>
  </si>
  <si>
    <t>251</t>
  </si>
  <si>
    <t>131421090000</t>
  </si>
  <si>
    <t>186740852920.0</t>
  </si>
  <si>
    <t>63/251</t>
  </si>
  <si>
    <t>152/251</t>
  </si>
  <si>
    <t>184158707120.0</t>
  </si>
  <si>
    <t>78/251</t>
  </si>
  <si>
    <t>146/251</t>
  </si>
  <si>
    <t>178902089320.0</t>
  </si>
  <si>
    <t>158/251</t>
  </si>
  <si>
    <t>131498900000</t>
  </si>
  <si>
    <t>170939923080.0</t>
  </si>
  <si>
    <t>81/251</t>
  </si>
  <si>
    <t>130975000000</t>
  </si>
  <si>
    <t>170131912800.0</t>
  </si>
  <si>
    <t>73/251</t>
  </si>
  <si>
    <t>162/251</t>
  </si>
  <si>
    <t>179650048180.0</t>
  </si>
  <si>
    <t>150/251</t>
  </si>
  <si>
    <t>168885007860.0</t>
  </si>
  <si>
    <t>88/251</t>
  </si>
  <si>
    <t>145/251</t>
  </si>
  <si>
    <t>175963427720.0</t>
  </si>
  <si>
    <t>84/251</t>
  </si>
  <si>
    <t>143/251</t>
  </si>
  <si>
    <t>166937578280.0</t>
  </si>
  <si>
    <t>87/251</t>
  </si>
  <si>
    <t>144/251</t>
  </si>
  <si>
    <t>178474283320.0</t>
  </si>
  <si>
    <t>76/251</t>
  </si>
  <si>
    <t>159/251</t>
  </si>
  <si>
    <t>171413667160.0</t>
  </si>
  <si>
    <t>86/251</t>
  </si>
  <si>
    <t>136/251</t>
  </si>
  <si>
    <t>171216874920.0</t>
  </si>
  <si>
    <t>148/251</t>
  </si>
  <si>
    <t>130897500000</t>
  </si>
  <si>
    <t>170332070980.0</t>
  </si>
  <si>
    <t>166054694380.0</t>
  </si>
  <si>
    <t>170116780640.0</t>
  </si>
  <si>
    <t>167310505260.0</t>
  </si>
  <si>
    <t>80/251</t>
  </si>
  <si>
    <t>140/251</t>
  </si>
  <si>
    <t>166858889160.0</t>
  </si>
  <si>
    <t>167470427040.0</t>
  </si>
  <si>
    <t>89/251</t>
  </si>
  <si>
    <t>142/251</t>
  </si>
  <si>
    <t>174643537020.0</t>
  </si>
  <si>
    <t>170433084440.0</t>
  </si>
  <si>
    <t>137/251</t>
  </si>
  <si>
    <t>171029502840.0</t>
  </si>
  <si>
    <t>74/251</t>
  </si>
  <si>
    <t>175624043560.0</t>
  </si>
  <si>
    <t>161180707180.0</t>
  </si>
  <si>
    <t>161107982100.0</t>
  </si>
  <si>
    <t>82/251</t>
  </si>
  <si>
    <t>149/251</t>
  </si>
  <si>
    <t>173795020080.0</t>
  </si>
  <si>
    <t>166820986360.0</t>
  </si>
  <si>
    <t>85/251</t>
  </si>
  <si>
    <t>132/251</t>
  </si>
  <si>
    <t>169606200340.0</t>
  </si>
  <si>
    <t>139/251</t>
  </si>
  <si>
    <t>171827487600.0</t>
  </si>
  <si>
    <t>157811392240.0</t>
  </si>
  <si>
    <t>167688031760.0</t>
  </si>
  <si>
    <t>130/251</t>
  </si>
  <si>
    <t>164732142100.0</t>
  </si>
  <si>
    <t>161436994660.0</t>
  </si>
  <si>
    <t>153958977980.0</t>
  </si>
  <si>
    <t>98/251</t>
  </si>
  <si>
    <t>157289866920.0</t>
  </si>
  <si>
    <t>107/251</t>
  </si>
  <si>
    <t>129/251</t>
  </si>
  <si>
    <t>148641587120.0</t>
  </si>
  <si>
    <t>94/251</t>
  </si>
  <si>
    <t>135/251</t>
  </si>
  <si>
    <t>176344126840.0</t>
  </si>
  <si>
    <t>#3</t>
  </si>
  <si>
    <t>#4</t>
  </si>
  <si>
    <t>#5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</si>
</sst>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0.59999389629810485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/>
    <xf numFmtId="0" fontId="1" fillId="11" borderId="0"/>
  </cellStyleXfs>
  <cellXfs count="3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0" fillId="0" borderId="0" xfId="1" applyNumberFormat="1" applyFont="1"/>
    <xf numFmtId="164" fontId="1" fillId="2" borderId="0" xfId="1" applyNumberFormat="1" applyFont="1" applyFill="1" applyAlignment="1">
      <alignment horizontal="center" vertical="center"/>
    </xf>
    <xf numFmtId="0" fontId="0" fillId="8" borderId="0" xfId="0" applyFill="1"/>
    <xf numFmtId="0" fontId="0" fillId="9" borderId="0" xfId="0" applyFill="1"/>
    <xf numFmtId="0" fontId="0" fillId="10" borderId="0" xfId="0" applyFill="1"/>
    <xf numFmtId="164" fontId="2" fillId="0" borderId="0" xfId="1" applyNumberFormat="1"/>
    <xf numFmtId="0" fontId="0" fillId="0" borderId="0" xfId="0" quotePrefix="1"/>
    <xf numFmtId="0" fontId="1" fillId="11" borderId="0" xfId="2" applyAlignment="1">
      <alignment horizontal="center" vertical="center"/>
    </xf>
    <xf numFmtId="0" fontId="0" fillId="13" borderId="0" xfId="0" applyFill="1"/>
    <xf numFmtId="0" fontId="0" fillId="7" borderId="0" xfId="0" applyFill="1"/>
    <xf numFmtId="0" fontId="0" fillId="14" borderId="0" xfId="0" applyFill="1"/>
    <xf numFmtId="0" fontId="0" fillId="15" borderId="0" xfId="0" applyFill="1"/>
    <xf numFmtId="0" fontId="1" fillId="16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0" fillId="0" borderId="0" xfId="0"/>
    <xf numFmtId="2" fontId="0" fillId="0" borderId="0" xfId="0" applyNumberFormat="1"/>
    <xf numFmtId="0" fontId="0" fillId="0" borderId="0" xfId="0"/>
    <xf numFmtId="0" fontId="3" fillId="12" borderId="0" xfId="0" applyFont="1" applyFill="1"/>
    <xf numFmtId="0" fontId="0" fillId="5" borderId="0" xfId="0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0" fillId="0" borderId="0" xfId="0" applyNumberFormat="1"/>
  </cellXfs>
  <cellStyles count="3">
    <cellStyle name="Accent5" xfId="2" builtinId="45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53"/>
  <sheetViews>
    <sheetView tabSelected="1" workbookViewId="0">
      <selection activeCell="A13" sqref="A13:XFD13"/>
    </sheetView>
  </sheetViews>
  <sheetFormatPr defaultRowHeight="14.5" x14ac:dyDescent="0.35"/>
  <cols>
    <col min="2" max="2" width="9" style="21" customWidth="1"/>
    <col min="3" max="3" width="4.26953125" style="21" customWidth="1"/>
    <col min="4" max="4" width="12.90625" style="6" bestFit="1" customWidth="1"/>
    <col min="5" max="5" width="11.453125" style="6" customWidth="1"/>
    <col min="6" max="6" width="5.54296875" style="11" customWidth="1"/>
    <col min="7" max="7" width="13.1796875" style="21" customWidth="1"/>
    <col min="8" max="9" width="14.1796875" style="21" customWidth="1"/>
    <col min="10" max="10" width="8.453125" style="21" customWidth="1"/>
    <col min="11" max="18" width="6.453125" style="21" customWidth="1"/>
    <col min="19" max="19" width="8" style="21" customWidth="1"/>
    <col min="20" max="20" width="9" style="21" customWidth="1"/>
    <col min="21" max="23" width="9.1796875" style="21" customWidth="1"/>
    <col min="24" max="28" width="9.26953125" style="21" customWidth="1"/>
    <col min="29" max="29" width="9.26953125" style="22" customWidth="1"/>
    <col min="30" max="32" width="9.26953125" style="21" customWidth="1"/>
    <col min="33" max="33" width="6.54296875" style="21" customWidth="1"/>
    <col min="34" max="34" width="7.7265625" style="21" customWidth="1"/>
    <col min="35" max="38" width="6.54296875" style="21" customWidth="1"/>
  </cols>
  <sheetData>
    <row r="1" spans="1:32" x14ac:dyDescent="0.35">
      <c r="J1" s="25" t="s">
        <v>0</v>
      </c>
      <c r="K1" s="26"/>
      <c r="L1" s="26"/>
      <c r="M1" s="26"/>
      <c r="N1" s="26"/>
      <c r="O1" s="26"/>
      <c r="P1" s="26"/>
      <c r="Q1" s="26"/>
      <c r="R1" s="26"/>
      <c r="S1" s="26"/>
      <c r="X1" s="27" t="s">
        <v>1</v>
      </c>
      <c r="Y1" s="26"/>
      <c r="Z1" s="26"/>
      <c r="AA1" s="29" t="s">
        <v>2</v>
      </c>
      <c r="AB1" s="26"/>
      <c r="AC1" s="30"/>
      <c r="AD1" s="28" t="s">
        <v>3</v>
      </c>
      <c r="AE1" s="26"/>
      <c r="AF1" s="26"/>
    </row>
    <row r="2" spans="1:32" s="2" customFormat="1" ht="53.5" customHeight="1" x14ac:dyDescent="0.35">
      <c r="A2" s="5" t="s">
        <v>4</v>
      </c>
      <c r="B2" s="1" t="s">
        <v>5</v>
      </c>
      <c r="C2" s="1" t="s">
        <v>6</v>
      </c>
      <c r="D2" s="7" t="s">
        <v>7</v>
      </c>
      <c r="E2" s="7" t="s">
        <v>8</v>
      </c>
      <c r="F2" s="13" t="s">
        <v>9</v>
      </c>
      <c r="G2" s="1" t="s">
        <v>10</v>
      </c>
      <c r="H2" s="1" t="s">
        <v>11</v>
      </c>
      <c r="I2" s="1" t="s">
        <v>12</v>
      </c>
      <c r="J2" s="3">
        <v>3</v>
      </c>
      <c r="K2" s="3" t="s">
        <v>13</v>
      </c>
      <c r="L2" s="3" t="s">
        <v>103</v>
      </c>
      <c r="M2" s="3">
        <v>4</v>
      </c>
      <c r="N2" s="3" t="s">
        <v>14</v>
      </c>
      <c r="O2" s="3" t="s">
        <v>104</v>
      </c>
      <c r="P2" s="3">
        <v>5</v>
      </c>
      <c r="Q2" s="3" t="s">
        <v>15</v>
      </c>
      <c r="R2" s="3" t="s">
        <v>105</v>
      </c>
      <c r="S2" s="3" t="s">
        <v>16</v>
      </c>
      <c r="T2" s="4" t="s">
        <v>17</v>
      </c>
      <c r="U2" s="4" t="s">
        <v>18</v>
      </c>
      <c r="V2" s="18" t="s">
        <v>19</v>
      </c>
      <c r="W2" s="18" t="s">
        <v>20</v>
      </c>
      <c r="X2" s="19">
        <v>3</v>
      </c>
      <c r="Y2" s="19" t="s">
        <v>13</v>
      </c>
      <c r="Z2" s="19" t="s">
        <v>21</v>
      </c>
      <c r="AA2" s="19">
        <v>4</v>
      </c>
      <c r="AB2" s="19" t="s">
        <v>14</v>
      </c>
      <c r="AC2" s="20" t="s">
        <v>22</v>
      </c>
      <c r="AD2" s="19">
        <v>5</v>
      </c>
      <c r="AE2" s="19" t="s">
        <v>15</v>
      </c>
      <c r="AF2" s="19" t="s">
        <v>23</v>
      </c>
    </row>
    <row r="3" spans="1:32" x14ac:dyDescent="0.35">
      <c r="A3" s="15">
        <v>10</v>
      </c>
      <c r="B3" t="s">
        <v>24</v>
      </c>
      <c r="C3" t="s">
        <v>25</v>
      </c>
      <c r="D3" s="23" t="s">
        <v>26</v>
      </c>
      <c r="E3" t="s">
        <v>30</v>
      </c>
      <c r="F3">
        <f>(E3-D3)</f>
        <v>52737617120</v>
      </c>
      <c r="G3" s="10">
        <f>(E3/D3)*100</f>
        <v>140.12873209315185</v>
      </c>
      <c r="H3">
        <v>37925</v>
      </c>
      <c r="I3">
        <f>(W3+Z3+AC3)</f>
        <v>37932.167330677294</v>
      </c>
      <c r="J3">
        <v>128.8565737051793</v>
      </c>
      <c r="K3" s="21">
        <v>11.71713147410359</v>
      </c>
      <c r="L3" s="24">
        <f>J3+K3</f>
        <v>140.57370517928288</v>
      </c>
      <c r="M3">
        <v>10.31872509960159</v>
      </c>
      <c r="N3" s="23">
        <v>0.8127490039840638</v>
      </c>
      <c r="O3" s="23">
        <f>(AC3+AF3)/C3</f>
        <v>10.52191235059761</v>
      </c>
      <c r="P3" s="21">
        <v>0.17928286852589639</v>
      </c>
      <c r="Q3">
        <v>2.3904382470119521E-2</v>
      </c>
      <c r="R3" s="24">
        <f>AF3/C3</f>
        <v>0.20318725099601595</v>
      </c>
      <c r="S3">
        <v>128.19521912350601</v>
      </c>
      <c r="T3" t="s">
        <v>31</v>
      </c>
      <c r="U3" s="8">
        <v>31.075697211155379</v>
      </c>
      <c r="V3" t="s">
        <v>32</v>
      </c>
      <c r="W3" s="23">
        <v>58.167330677290842</v>
      </c>
      <c r="X3">
        <v>32343</v>
      </c>
      <c r="Y3">
        <v>2941</v>
      </c>
      <c r="Z3">
        <v>35284</v>
      </c>
      <c r="AA3">
        <v>2182</v>
      </c>
      <c r="AB3" s="23">
        <v>204</v>
      </c>
      <c r="AC3" s="23">
        <v>2590</v>
      </c>
      <c r="AD3">
        <v>45</v>
      </c>
      <c r="AE3">
        <v>6</v>
      </c>
      <c r="AF3" s="10">
        <v>51</v>
      </c>
    </row>
    <row r="4" spans="1:32" x14ac:dyDescent="0.35">
      <c r="A4" s="23">
        <v>11</v>
      </c>
      <c r="B4" t="s">
        <v>24</v>
      </c>
      <c r="C4" t="s">
        <v>25</v>
      </c>
      <c r="D4" s="12" t="s">
        <v>26</v>
      </c>
      <c r="E4" t="s">
        <v>99</v>
      </c>
      <c r="F4">
        <f>(E4-D4)</f>
        <v>17220497120</v>
      </c>
      <c r="G4" s="23">
        <f>(E4/D4)*100</f>
        <v>113.10329804752037</v>
      </c>
      <c r="H4">
        <v>37789</v>
      </c>
      <c r="I4">
        <f>(W4+Z4+AC4)</f>
        <v>37810.784860557767</v>
      </c>
      <c r="J4">
        <v>128.48605577689241</v>
      </c>
      <c r="K4">
        <v>11.597609561752989</v>
      </c>
      <c r="L4" s="23">
        <f>J4+K4</f>
        <v>140.0836653386454</v>
      </c>
      <c r="M4">
        <v>10.342629482071709</v>
      </c>
      <c r="N4" s="21">
        <v>0.71713147410358569</v>
      </c>
      <c r="O4" s="21">
        <f>(AC4+AF4)/C4</f>
        <v>10.47011952191235</v>
      </c>
      <c r="P4" s="21">
        <v>0.12749003984063739</v>
      </c>
      <c r="Q4">
        <v>0</v>
      </c>
      <c r="R4" s="23">
        <f>AF4/C4</f>
        <v>0.12749003984063745</v>
      </c>
      <c r="S4">
        <v>128.43426294820719</v>
      </c>
      <c r="T4" t="s">
        <v>100</v>
      </c>
      <c r="U4" s="23">
        <v>37.450199203187253</v>
      </c>
      <c r="V4" t="s">
        <v>101</v>
      </c>
      <c r="W4" s="21">
        <v>53.784860557768923</v>
      </c>
      <c r="X4">
        <v>32250</v>
      </c>
      <c r="Y4">
        <v>2911</v>
      </c>
      <c r="Z4">
        <v>35161</v>
      </c>
      <c r="AA4">
        <v>2288</v>
      </c>
      <c r="AB4" s="21">
        <v>180</v>
      </c>
      <c r="AC4" s="21">
        <v>2596</v>
      </c>
      <c r="AD4">
        <v>32</v>
      </c>
      <c r="AE4">
        <v>0</v>
      </c>
      <c r="AF4" s="23">
        <v>32</v>
      </c>
    </row>
    <row r="5" spans="1:32" x14ac:dyDescent="0.35">
      <c r="A5" s="21">
        <v>12</v>
      </c>
      <c r="B5" t="s">
        <v>24</v>
      </c>
      <c r="C5" t="s">
        <v>25</v>
      </c>
      <c r="D5" s="12" t="s">
        <v>26</v>
      </c>
      <c r="E5" t="s">
        <v>59</v>
      </c>
      <c r="F5">
        <f>(E5-D5)</f>
        <v>39795784920</v>
      </c>
      <c r="G5" s="23">
        <f>(E5/D5)*100</f>
        <v>130.28112528970809</v>
      </c>
      <c r="H5">
        <v>37906</v>
      </c>
      <c r="I5" s="21">
        <f>(W5+Z5+AC5)</f>
        <v>37917.964143426296</v>
      </c>
      <c r="J5">
        <v>128.71713147410361</v>
      </c>
      <c r="K5" s="21">
        <v>11.812749003984059</v>
      </c>
      <c r="L5" s="10">
        <f>J5+K5</f>
        <v>140.52988047808768</v>
      </c>
      <c r="M5">
        <v>10.30278884462151</v>
      </c>
      <c r="N5" s="21">
        <v>0.79681274900398402</v>
      </c>
      <c r="O5" s="21">
        <f>(AC5+AF5)/C5</f>
        <v>10.490039840637451</v>
      </c>
      <c r="P5" s="21">
        <v>0.18326693227091631</v>
      </c>
      <c r="Q5" s="21">
        <v>3.9840637450199202E-3</v>
      </c>
      <c r="R5" s="21">
        <f>AF5/C5</f>
        <v>0.18725099601593626</v>
      </c>
      <c r="S5">
        <v>128.13545816733071</v>
      </c>
      <c r="T5" t="s">
        <v>51</v>
      </c>
      <c r="U5" s="21">
        <v>34.661354581673308</v>
      </c>
      <c r="V5" t="s">
        <v>60</v>
      </c>
      <c r="W5" s="21">
        <v>58.964143426294832</v>
      </c>
      <c r="X5">
        <v>32308</v>
      </c>
      <c r="Y5">
        <v>2965</v>
      </c>
      <c r="Z5">
        <v>35273</v>
      </c>
      <c r="AA5">
        <v>2198</v>
      </c>
      <c r="AB5">
        <v>200</v>
      </c>
      <c r="AC5" s="21">
        <v>2586</v>
      </c>
      <c r="AD5">
        <v>46</v>
      </c>
      <c r="AE5">
        <v>1</v>
      </c>
      <c r="AF5" s="9">
        <v>47</v>
      </c>
    </row>
    <row r="6" spans="1:32" x14ac:dyDescent="0.35">
      <c r="A6" s="21">
        <v>13</v>
      </c>
      <c r="B6" t="s">
        <v>24</v>
      </c>
      <c r="C6" t="s">
        <v>25</v>
      </c>
      <c r="D6" s="12" t="s">
        <v>26</v>
      </c>
      <c r="E6" t="s">
        <v>44</v>
      </c>
      <c r="F6">
        <f>(E6-D6)</f>
        <v>37463917860</v>
      </c>
      <c r="G6" s="23">
        <f>(E6/D6)*100</f>
        <v>128.50677761080814</v>
      </c>
      <c r="H6">
        <v>37875</v>
      </c>
      <c r="I6" s="23">
        <f>(W6+Z6+AC6)</f>
        <v>37892.768924302785</v>
      </c>
      <c r="J6">
        <v>128.601593625498</v>
      </c>
      <c r="K6" s="23">
        <v>11.8605577689243</v>
      </c>
      <c r="L6" s="10">
        <f>J6+K6</f>
        <v>140.46215139442231</v>
      </c>
      <c r="M6">
        <v>10.27490039840638</v>
      </c>
      <c r="N6" s="21">
        <v>0.8366533864541833</v>
      </c>
      <c r="O6" s="23">
        <f>(AC6+AF6)/C6</f>
        <v>10.434262948207172</v>
      </c>
      <c r="P6">
        <v>0.14342629482071709</v>
      </c>
      <c r="Q6" s="23">
        <v>1.5936254980079681E-2</v>
      </c>
      <c r="R6" s="21">
        <f>AF6/C6</f>
        <v>0.15936254980079681</v>
      </c>
      <c r="S6">
        <v>128.03585657370519</v>
      </c>
      <c r="T6" t="s">
        <v>45</v>
      </c>
      <c r="U6" s="23">
        <v>35.059760956175303</v>
      </c>
      <c r="V6" t="s">
        <v>46</v>
      </c>
      <c r="W6" s="23">
        <v>57.768924302788847</v>
      </c>
      <c r="X6">
        <v>32279</v>
      </c>
      <c r="Y6">
        <v>2977</v>
      </c>
      <c r="Z6">
        <v>35256</v>
      </c>
      <c r="AA6">
        <v>2209</v>
      </c>
      <c r="AB6" s="21">
        <v>210</v>
      </c>
      <c r="AC6" s="21">
        <v>2579</v>
      </c>
      <c r="AD6">
        <v>36</v>
      </c>
      <c r="AE6">
        <v>4</v>
      </c>
      <c r="AF6" s="23">
        <v>40</v>
      </c>
    </row>
    <row r="7" spans="1:32" x14ac:dyDescent="0.35">
      <c r="A7" s="21">
        <v>14</v>
      </c>
      <c r="B7" t="s">
        <v>24</v>
      </c>
      <c r="C7" t="s">
        <v>25</v>
      </c>
      <c r="D7" s="12" t="s">
        <v>26</v>
      </c>
      <c r="E7" t="s">
        <v>50</v>
      </c>
      <c r="F7">
        <f>(E7-D7)</f>
        <v>35516488280</v>
      </c>
      <c r="G7" s="23">
        <f>(E7/D7)*100</f>
        <v>127.02495336174735</v>
      </c>
      <c r="H7">
        <v>37835</v>
      </c>
      <c r="I7" s="24">
        <f>(W7+Z7+AC7)</f>
        <v>37852.370517928284</v>
      </c>
      <c r="J7">
        <v>128.23904382470121</v>
      </c>
      <c r="K7" s="21">
        <v>12.011952191235061</v>
      </c>
      <c r="L7" s="21">
        <f>J7+K7</f>
        <v>140.25099601593627</v>
      </c>
      <c r="M7">
        <v>10.32669322709163</v>
      </c>
      <c r="N7" s="23">
        <v>0.85657370517928288</v>
      </c>
      <c r="O7" s="23">
        <f>(AC7+AF7)/C7</f>
        <v>10.48605577689243</v>
      </c>
      <c r="P7" s="21">
        <v>0.151394422310757</v>
      </c>
      <c r="Q7" s="21">
        <v>7.9681274900398405E-3</v>
      </c>
      <c r="R7" s="21">
        <f>AF7/C7</f>
        <v>0.15936254980079681</v>
      </c>
      <c r="S7">
        <v>127.87250996015941</v>
      </c>
      <c r="T7" t="s">
        <v>51</v>
      </c>
      <c r="U7" s="23">
        <v>34.661354581673308</v>
      </c>
      <c r="V7" t="s">
        <v>52</v>
      </c>
      <c r="W7" s="23">
        <v>57.370517928286858</v>
      </c>
      <c r="X7">
        <v>32188</v>
      </c>
      <c r="Y7">
        <v>3015</v>
      </c>
      <c r="Z7">
        <v>35203</v>
      </c>
      <c r="AA7">
        <v>2217</v>
      </c>
      <c r="AB7" s="21">
        <v>215</v>
      </c>
      <c r="AC7" s="21">
        <v>2592</v>
      </c>
      <c r="AD7">
        <v>38</v>
      </c>
      <c r="AE7">
        <v>2</v>
      </c>
      <c r="AF7" s="23">
        <v>40</v>
      </c>
    </row>
    <row r="8" spans="1:32" x14ac:dyDescent="0.35">
      <c r="A8" s="15">
        <v>15</v>
      </c>
      <c r="B8" t="s">
        <v>24</v>
      </c>
      <c r="C8" t="s">
        <v>25</v>
      </c>
      <c r="D8" s="12" t="s">
        <v>26</v>
      </c>
      <c r="E8" t="s">
        <v>27</v>
      </c>
      <c r="F8">
        <f>(E8-D8)</f>
        <v>55319762920</v>
      </c>
      <c r="G8" s="24">
        <f>(E8/D8)*100</f>
        <v>142.09352008874677</v>
      </c>
      <c r="H8">
        <v>37866</v>
      </c>
      <c r="I8" s="21">
        <f>(W8+Z8+AC8)</f>
        <v>37879.5577689243</v>
      </c>
      <c r="J8">
        <v>128.69721115537851</v>
      </c>
      <c r="K8" s="21">
        <v>11.60956175298805</v>
      </c>
      <c r="L8" s="23">
        <f>J8+K8</f>
        <v>140.30677290836655</v>
      </c>
      <c r="M8">
        <v>10.366533864541831</v>
      </c>
      <c r="N8" s="24">
        <v>0.92828685258964139</v>
      </c>
      <c r="O8" s="10">
        <f>(AC8+AF8)/C8</f>
        <v>10.553784860557769</v>
      </c>
      <c r="P8" s="23">
        <v>0.15537848605577689</v>
      </c>
      <c r="Q8" s="21">
        <v>3.1872509960159362E-2</v>
      </c>
      <c r="R8" s="23">
        <f>AF8/C8</f>
        <v>0.18725099601593626</v>
      </c>
      <c r="S8">
        <v>128.17928286852589</v>
      </c>
      <c r="T8" t="s">
        <v>28</v>
      </c>
      <c r="U8" s="24">
        <v>25.099601593625501</v>
      </c>
      <c r="V8" t="s">
        <v>29</v>
      </c>
      <c r="W8" s="9">
        <v>60.557768924302792</v>
      </c>
      <c r="X8">
        <v>32303</v>
      </c>
      <c r="Y8">
        <v>2914</v>
      </c>
      <c r="Z8">
        <v>35217</v>
      </c>
      <c r="AA8">
        <v>2181</v>
      </c>
      <c r="AB8" s="24">
        <v>233</v>
      </c>
      <c r="AC8" s="9">
        <v>2602</v>
      </c>
      <c r="AD8">
        <v>39</v>
      </c>
      <c r="AE8">
        <v>8</v>
      </c>
      <c r="AF8" s="9">
        <v>47</v>
      </c>
    </row>
    <row r="9" spans="1:32" x14ac:dyDescent="0.35">
      <c r="A9" s="21">
        <v>16</v>
      </c>
      <c r="B9" t="s">
        <v>24</v>
      </c>
      <c r="C9" t="s">
        <v>25</v>
      </c>
      <c r="D9" s="12" t="s">
        <v>26</v>
      </c>
      <c r="E9" t="s">
        <v>72</v>
      </c>
      <c r="F9">
        <f>(E9-D9)</f>
        <v>43222447020</v>
      </c>
      <c r="G9" s="9">
        <f>(E9/D9)*100</f>
        <v>132.88851661479904</v>
      </c>
      <c r="H9">
        <v>37865</v>
      </c>
      <c r="I9" s="21">
        <f>(W9+Z9+AC9)</f>
        <v>37878.768924302785</v>
      </c>
      <c r="J9">
        <v>128.4581673306773</v>
      </c>
      <c r="K9" s="21">
        <v>11.908366533864539</v>
      </c>
      <c r="L9" s="8">
        <f>J9+K9</f>
        <v>140.36653386454185</v>
      </c>
      <c r="M9">
        <v>10.314741035856571</v>
      </c>
      <c r="N9" s="21">
        <v>0.81673306772908372</v>
      </c>
      <c r="O9" s="23">
        <f>(AC9+AF9)/C9</f>
        <v>10.490039840637451</v>
      </c>
      <c r="P9">
        <v>0.15537848605577689</v>
      </c>
      <c r="Q9" s="21">
        <v>1.9920318725099601E-2</v>
      </c>
      <c r="R9" s="21">
        <f>AF9/C9</f>
        <v>0.1752988047808765</v>
      </c>
      <c r="S9">
        <v>128.00398406374501</v>
      </c>
      <c r="T9" t="s">
        <v>48</v>
      </c>
      <c r="U9" s="21">
        <v>33.466135458167329</v>
      </c>
      <c r="V9" t="s">
        <v>46</v>
      </c>
      <c r="W9" s="21">
        <v>57.768924302788847</v>
      </c>
      <c r="X9">
        <v>32243</v>
      </c>
      <c r="Y9">
        <v>2989</v>
      </c>
      <c r="Z9">
        <v>35232</v>
      </c>
      <c r="AA9">
        <v>2208</v>
      </c>
      <c r="AB9">
        <v>205</v>
      </c>
      <c r="AC9">
        <v>2589</v>
      </c>
      <c r="AD9">
        <v>39</v>
      </c>
      <c r="AE9">
        <v>5</v>
      </c>
      <c r="AF9" s="23">
        <v>44</v>
      </c>
    </row>
    <row r="10" spans="1:32" x14ac:dyDescent="0.35">
      <c r="A10" s="21">
        <v>17</v>
      </c>
      <c r="B10" t="s">
        <v>24</v>
      </c>
      <c r="C10" t="s">
        <v>25</v>
      </c>
      <c r="D10" s="12" t="s">
        <v>26</v>
      </c>
      <c r="E10" t="s">
        <v>75</v>
      </c>
      <c r="F10">
        <f>(E10-D10)</f>
        <v>39608412840</v>
      </c>
      <c r="G10" s="23">
        <f>(E10/D10)*100</f>
        <v>130.13855146080436</v>
      </c>
      <c r="H10">
        <v>37850</v>
      </c>
      <c r="I10">
        <f>(W10+Z10+AC10)</f>
        <v>37865.768924302785</v>
      </c>
      <c r="J10">
        <v>128.6414342629482</v>
      </c>
      <c r="K10" s="21">
        <v>11.66135458167331</v>
      </c>
      <c r="L10" s="23">
        <f>J10+K10</f>
        <v>140.30278884462152</v>
      </c>
      <c r="M10">
        <v>10.32669322709163</v>
      </c>
      <c r="N10" s="21">
        <v>0.83266932270916338</v>
      </c>
      <c r="O10" s="21">
        <f>(AC10+AF10)/C10</f>
        <v>10.49402390438247</v>
      </c>
      <c r="P10" s="21">
        <v>0.151394422310757</v>
      </c>
      <c r="Q10">
        <v>1.5936254980079681E-2</v>
      </c>
      <c r="R10" s="21">
        <f>AF10/C10</f>
        <v>0.16733067729083664</v>
      </c>
      <c r="S10">
        <v>128.23904382470121</v>
      </c>
      <c r="T10" t="s">
        <v>76</v>
      </c>
      <c r="U10" s="10">
        <v>29.482071713147409</v>
      </c>
      <c r="V10" t="s">
        <v>46</v>
      </c>
      <c r="W10">
        <v>57.768924302788847</v>
      </c>
      <c r="X10">
        <v>32289</v>
      </c>
      <c r="Y10">
        <v>2927</v>
      </c>
      <c r="Z10">
        <v>35216</v>
      </c>
      <c r="AA10">
        <v>2215</v>
      </c>
      <c r="AB10">
        <v>209</v>
      </c>
      <c r="AC10" s="21">
        <v>2592</v>
      </c>
      <c r="AD10">
        <v>38</v>
      </c>
      <c r="AE10">
        <v>4</v>
      </c>
      <c r="AF10" s="21">
        <v>42</v>
      </c>
    </row>
    <row r="11" spans="1:32" x14ac:dyDescent="0.35">
      <c r="A11" s="21">
        <v>18</v>
      </c>
      <c r="B11" t="s">
        <v>24</v>
      </c>
      <c r="C11" t="s">
        <v>25</v>
      </c>
      <c r="D11" s="12" t="s">
        <v>61</v>
      </c>
      <c r="E11" t="s">
        <v>62</v>
      </c>
      <c r="F11">
        <f>(E11-D11)</f>
        <v>39434570980</v>
      </c>
      <c r="G11">
        <f>(E11/D11)*100</f>
        <v>130.12629804236141</v>
      </c>
      <c r="H11">
        <v>37684</v>
      </c>
      <c r="I11" s="21">
        <f>(W11+Z11+AC11)</f>
        <v>37700.768924302785</v>
      </c>
      <c r="J11">
        <v>128.29880478087651</v>
      </c>
      <c r="K11" s="21">
        <v>11.342629482071709</v>
      </c>
      <c r="L11" s="23">
        <f>J11+K11</f>
        <v>139.64143426294822</v>
      </c>
      <c r="M11">
        <v>10.33067729083665</v>
      </c>
      <c r="N11" s="21">
        <v>0.8605577689243028</v>
      </c>
      <c r="O11" s="21">
        <f>(AC11+AF11)/C11</f>
        <v>10.49402390438247</v>
      </c>
      <c r="P11">
        <v>0.14741035856573709</v>
      </c>
      <c r="Q11" s="21">
        <v>1.5936254980079681E-2</v>
      </c>
      <c r="R11" s="21">
        <f>AF11/C11</f>
        <v>0.16334661354581673</v>
      </c>
      <c r="S11">
        <v>127.96812749003981</v>
      </c>
      <c r="T11" t="s">
        <v>37</v>
      </c>
      <c r="U11" s="21">
        <v>32.270916334661351</v>
      </c>
      <c r="V11" t="s">
        <v>46</v>
      </c>
      <c r="W11" s="21">
        <v>57.768924302788847</v>
      </c>
      <c r="X11">
        <v>32203</v>
      </c>
      <c r="Y11">
        <v>2847</v>
      </c>
      <c r="Z11">
        <v>35050</v>
      </c>
      <c r="AA11">
        <v>2213</v>
      </c>
      <c r="AB11">
        <v>216</v>
      </c>
      <c r="AC11">
        <v>2593</v>
      </c>
      <c r="AD11">
        <v>37</v>
      </c>
      <c r="AE11">
        <v>4</v>
      </c>
      <c r="AF11" s="21">
        <v>41</v>
      </c>
    </row>
    <row r="12" spans="1:32" x14ac:dyDescent="0.35">
      <c r="A12" s="21">
        <v>19</v>
      </c>
      <c r="B12" t="s">
        <v>24</v>
      </c>
      <c r="C12" t="s">
        <v>25</v>
      </c>
      <c r="D12" s="12" t="s">
        <v>26</v>
      </c>
      <c r="E12" t="s">
        <v>94</v>
      </c>
      <c r="F12">
        <f>(E12-D12)</f>
        <v>22537887980</v>
      </c>
      <c r="G12">
        <f>(E12/D12)*100</f>
        <v>117.14936923746409</v>
      </c>
      <c r="H12">
        <v>37811</v>
      </c>
      <c r="I12" s="21">
        <f>(W12+Z12+AC12)</f>
        <v>37829.792828685262</v>
      </c>
      <c r="J12">
        <v>128.53386454183271</v>
      </c>
      <c r="K12" s="21">
        <v>11.64541832669323</v>
      </c>
      <c r="L12" s="21">
        <f>J12+K12</f>
        <v>140.17928286852595</v>
      </c>
      <c r="M12">
        <v>10.33067729083665</v>
      </c>
      <c r="N12" s="23">
        <v>0.7450199203187251</v>
      </c>
      <c r="O12" s="23">
        <f>(AC12+AF12)/C12</f>
        <v>10.46215139442231</v>
      </c>
      <c r="P12" s="21">
        <v>0.1235059760956175</v>
      </c>
      <c r="Q12">
        <v>7.9681274900398405E-3</v>
      </c>
      <c r="R12" s="21">
        <f>AF12/C12</f>
        <v>0.13147410358565736</v>
      </c>
      <c r="S12">
        <v>128.35059760956179</v>
      </c>
      <c r="T12" t="s">
        <v>95</v>
      </c>
      <c r="U12" s="21">
        <v>39.04382470119522</v>
      </c>
      <c r="V12" t="s">
        <v>91</v>
      </c>
      <c r="W12">
        <v>51.792828685258961</v>
      </c>
      <c r="X12">
        <v>32262</v>
      </c>
      <c r="Y12">
        <v>2923</v>
      </c>
      <c r="Z12">
        <v>35185</v>
      </c>
      <c r="AA12">
        <v>2274</v>
      </c>
      <c r="AB12">
        <v>187</v>
      </c>
      <c r="AC12" s="21">
        <v>2593</v>
      </c>
      <c r="AD12">
        <v>31</v>
      </c>
      <c r="AE12">
        <v>2</v>
      </c>
      <c r="AF12" s="23">
        <v>33</v>
      </c>
    </row>
    <row r="13" spans="1:32" x14ac:dyDescent="0.35">
      <c r="A13" s="15">
        <v>20</v>
      </c>
      <c r="B13" t="s">
        <v>24</v>
      </c>
      <c r="C13" t="s">
        <v>25</v>
      </c>
      <c r="D13" s="12" t="s">
        <v>26</v>
      </c>
      <c r="E13" t="s">
        <v>47</v>
      </c>
      <c r="F13">
        <f>(E13-D13)</f>
        <v>44542337720</v>
      </c>
      <c r="G13" s="9">
        <f>(E13/D13)*100</f>
        <v>133.8928384477712</v>
      </c>
      <c r="H13">
        <v>37897</v>
      </c>
      <c r="I13">
        <f>(W13+Z13+AC13)</f>
        <v>37902.972111553783</v>
      </c>
      <c r="J13">
        <v>128.53784860557769</v>
      </c>
      <c r="K13" s="21">
        <v>11.89243027888446</v>
      </c>
      <c r="L13" s="8">
        <f>J13+K13</f>
        <v>140.43027888446215</v>
      </c>
      <c r="M13">
        <v>10.350597609561749</v>
      </c>
      <c r="N13" s="21">
        <v>0.78884462151394419</v>
      </c>
      <c r="O13" s="10">
        <f>(AC13+AF13)/C13</f>
        <v>10.553784860557769</v>
      </c>
      <c r="P13" s="24">
        <v>0.19920318725099601</v>
      </c>
      <c r="Q13">
        <v>3.9840637450199202E-3</v>
      </c>
      <c r="R13" s="24">
        <f>AF13/C13</f>
        <v>0.20318725099601595</v>
      </c>
      <c r="S13">
        <v>128.0637450199203</v>
      </c>
      <c r="T13" t="s">
        <v>48</v>
      </c>
      <c r="U13" s="21">
        <v>33.466135458167329</v>
      </c>
      <c r="V13" t="s">
        <v>49</v>
      </c>
      <c r="W13" s="21">
        <v>56.972111553784863</v>
      </c>
      <c r="X13">
        <v>32263</v>
      </c>
      <c r="Y13">
        <v>2985</v>
      </c>
      <c r="Z13">
        <v>35248</v>
      </c>
      <c r="AA13">
        <v>2196</v>
      </c>
      <c r="AB13">
        <v>198</v>
      </c>
      <c r="AC13" s="14">
        <v>2598</v>
      </c>
      <c r="AD13">
        <v>50</v>
      </c>
      <c r="AE13">
        <v>1</v>
      </c>
      <c r="AF13" s="24">
        <v>51</v>
      </c>
    </row>
    <row r="14" spans="1:32" x14ac:dyDescent="0.35">
      <c r="A14">
        <v>21</v>
      </c>
      <c r="B14" t="s">
        <v>24</v>
      </c>
      <c r="C14" t="s">
        <v>25</v>
      </c>
      <c r="D14" s="12" t="s">
        <v>26</v>
      </c>
      <c r="E14" t="s">
        <v>96</v>
      </c>
      <c r="F14">
        <f>(E14-D14)</f>
        <v>25868776920</v>
      </c>
      <c r="G14" s="21">
        <f>(E14/D14)*100</f>
        <v>119.68388553161444</v>
      </c>
      <c r="H14">
        <v>37823</v>
      </c>
      <c r="I14" s="21">
        <f>(W14+Z14+AC14)</f>
        <v>37841.394422310754</v>
      </c>
      <c r="J14">
        <v>128.3545816733068</v>
      </c>
      <c r="K14" s="21">
        <v>11.908366533864539</v>
      </c>
      <c r="L14" s="23">
        <f>J14+K14</f>
        <v>140.26294820717135</v>
      </c>
      <c r="M14">
        <v>10.29482071713147</v>
      </c>
      <c r="N14" s="21">
        <v>0.70517928286852594</v>
      </c>
      <c r="O14" s="21">
        <f>(AC14+AF14)/C14</f>
        <v>10.426294820717132</v>
      </c>
      <c r="P14">
        <v>0.11155378486055779</v>
      </c>
      <c r="Q14" s="21">
        <v>1.9920318725099601E-2</v>
      </c>
      <c r="R14" s="21">
        <f>AF14/C14</f>
        <v>0.13147410358565736</v>
      </c>
      <c r="S14">
        <v>128.11553784860561</v>
      </c>
      <c r="T14" t="s">
        <v>97</v>
      </c>
      <c r="U14">
        <v>42.629482071713149</v>
      </c>
      <c r="V14" t="s">
        <v>98</v>
      </c>
      <c r="W14" s="21">
        <v>51.394422310756973</v>
      </c>
      <c r="X14">
        <v>32217</v>
      </c>
      <c r="Y14">
        <v>2989</v>
      </c>
      <c r="Z14">
        <v>35206</v>
      </c>
      <c r="AA14">
        <v>2275</v>
      </c>
      <c r="AB14">
        <v>177</v>
      </c>
      <c r="AC14" s="21">
        <v>2584</v>
      </c>
      <c r="AD14">
        <v>28</v>
      </c>
      <c r="AE14">
        <v>5</v>
      </c>
      <c r="AF14" s="23">
        <v>33</v>
      </c>
    </row>
    <row r="15" spans="1:32" x14ac:dyDescent="0.35">
      <c r="A15" s="21">
        <v>22</v>
      </c>
      <c r="B15" t="s">
        <v>24</v>
      </c>
      <c r="C15" t="s">
        <v>25</v>
      </c>
      <c r="D15" s="12" t="s">
        <v>61</v>
      </c>
      <c r="E15" t="s">
        <v>78</v>
      </c>
      <c r="F15">
        <f>(E15-D15)</f>
        <v>30283207180</v>
      </c>
      <c r="G15" s="21">
        <f>(E15/D15)*100</f>
        <v>123.13505390095303</v>
      </c>
      <c r="H15">
        <v>37644</v>
      </c>
      <c r="I15">
        <f>(W15+Z15+AC15)</f>
        <v>37662.768924302785</v>
      </c>
      <c r="J15">
        <v>127.6294820717131</v>
      </c>
      <c r="K15" s="24">
        <v>11.812749003984059</v>
      </c>
      <c r="L15" s="21">
        <f>J15+K15</f>
        <v>139.44223107569715</v>
      </c>
      <c r="M15">
        <v>10.378486055776889</v>
      </c>
      <c r="N15" s="21">
        <v>0.78087649402390436</v>
      </c>
      <c r="O15" s="21">
        <f>(AC15+AF15)/C15</f>
        <v>10.533864541832669</v>
      </c>
      <c r="P15">
        <v>0.151394422310757</v>
      </c>
      <c r="Q15">
        <v>3.9840637450199202E-3</v>
      </c>
      <c r="R15" s="21">
        <f>AF15/C15</f>
        <v>0.15537848605577689</v>
      </c>
      <c r="S15">
        <v>127.593625498008</v>
      </c>
      <c r="T15" t="s">
        <v>51</v>
      </c>
      <c r="U15" s="23">
        <v>34.661354581673308</v>
      </c>
      <c r="V15" t="s">
        <v>46</v>
      </c>
      <c r="W15" s="21">
        <v>57.768924302788847</v>
      </c>
      <c r="X15">
        <v>32035</v>
      </c>
      <c r="Y15">
        <v>2965</v>
      </c>
      <c r="Z15">
        <v>35000</v>
      </c>
      <c r="AA15">
        <v>2253</v>
      </c>
      <c r="AB15" s="21">
        <v>196</v>
      </c>
      <c r="AC15" s="24">
        <v>2605</v>
      </c>
      <c r="AD15">
        <v>38</v>
      </c>
      <c r="AE15">
        <v>1</v>
      </c>
      <c r="AF15" s="21">
        <v>39</v>
      </c>
    </row>
    <row r="16" spans="1:32" x14ac:dyDescent="0.35">
      <c r="A16" s="21">
        <v>23</v>
      </c>
      <c r="B16" t="s">
        <v>24</v>
      </c>
      <c r="C16" t="s">
        <v>25</v>
      </c>
      <c r="D16" s="12" t="s">
        <v>26</v>
      </c>
      <c r="E16" t="s">
        <v>79</v>
      </c>
      <c r="F16">
        <f>(E16-D16)</f>
        <v>29686892100</v>
      </c>
      <c r="G16" s="21">
        <f>(E16/D16)*100</f>
        <v>122.58913854694097</v>
      </c>
      <c r="H16">
        <v>37813</v>
      </c>
      <c r="I16">
        <f>(W16+Z16+AC16)</f>
        <v>37837.362549800797</v>
      </c>
      <c r="J16">
        <v>128.42629482071709</v>
      </c>
      <c r="K16" s="21">
        <v>11.7609561752988</v>
      </c>
      <c r="L16" s="21">
        <f>J16+K16</f>
        <v>140.18725099601588</v>
      </c>
      <c r="M16">
        <v>10.322709163346611</v>
      </c>
      <c r="N16" s="21">
        <v>0.82868525896414347</v>
      </c>
      <c r="O16" s="21">
        <f>(AC16+AF16)/C16</f>
        <v>10.46215139442231</v>
      </c>
      <c r="P16">
        <v>0.12749003984063739</v>
      </c>
      <c r="Q16">
        <v>1.1952191235059761E-2</v>
      </c>
      <c r="R16" s="21">
        <f>AF16/C16</f>
        <v>0.1394422310756972</v>
      </c>
      <c r="S16">
        <v>128.14741035856571</v>
      </c>
      <c r="T16" t="s">
        <v>80</v>
      </c>
      <c r="U16">
        <v>32.669322709163353</v>
      </c>
      <c r="V16" t="s">
        <v>81</v>
      </c>
      <c r="W16">
        <v>59.362549800796813</v>
      </c>
      <c r="X16">
        <v>32235</v>
      </c>
      <c r="Y16">
        <v>2952</v>
      </c>
      <c r="Z16">
        <v>35187</v>
      </c>
      <c r="AA16">
        <v>2243</v>
      </c>
      <c r="AB16">
        <v>208</v>
      </c>
      <c r="AC16" s="21">
        <v>2591</v>
      </c>
      <c r="AD16">
        <v>32</v>
      </c>
      <c r="AE16">
        <v>3</v>
      </c>
      <c r="AF16" s="21">
        <v>35</v>
      </c>
    </row>
    <row r="17" spans="1:32" x14ac:dyDescent="0.35">
      <c r="A17" s="21">
        <v>24</v>
      </c>
      <c r="B17" t="s">
        <v>24</v>
      </c>
      <c r="C17" t="s">
        <v>25</v>
      </c>
      <c r="D17" s="12" t="s">
        <v>26</v>
      </c>
      <c r="E17" t="s">
        <v>89</v>
      </c>
      <c r="F17">
        <f>(E17-D17)</f>
        <v>26390302240</v>
      </c>
      <c r="G17" s="21">
        <f>(E17/D17)*100</f>
        <v>120.08072086451268</v>
      </c>
      <c r="H17">
        <v>37808</v>
      </c>
      <c r="I17">
        <f>(W17+Z17+AC17)</f>
        <v>37830.964143426296</v>
      </c>
      <c r="J17">
        <v>128.36254980079681</v>
      </c>
      <c r="K17" s="21">
        <v>11.7808764940239</v>
      </c>
      <c r="L17" s="23">
        <f>J17+K17</f>
        <v>140.1434262948207</v>
      </c>
      <c r="M17">
        <v>10.342629482071709</v>
      </c>
      <c r="N17" s="21">
        <v>0.82868525896414347</v>
      </c>
      <c r="O17" s="21">
        <f>(AC17+AF17)/C17</f>
        <v>10.48605577689243</v>
      </c>
      <c r="P17">
        <v>0.14342629482071709</v>
      </c>
      <c r="Q17">
        <v>0</v>
      </c>
      <c r="R17" s="21">
        <f>AF17/C17</f>
        <v>0.14342629482071714</v>
      </c>
      <c r="S17">
        <v>128.13944223107569</v>
      </c>
      <c r="T17" t="s">
        <v>31</v>
      </c>
      <c r="U17" s="8">
        <v>31.075697211155379</v>
      </c>
      <c r="V17" t="s">
        <v>60</v>
      </c>
      <c r="W17" s="21">
        <v>58.964143426294832</v>
      </c>
      <c r="X17">
        <v>32219</v>
      </c>
      <c r="Y17">
        <v>2957</v>
      </c>
      <c r="Z17">
        <v>35176</v>
      </c>
      <c r="AA17">
        <v>2244</v>
      </c>
      <c r="AB17" s="21">
        <v>208</v>
      </c>
      <c r="AC17" s="21">
        <v>2596</v>
      </c>
      <c r="AD17">
        <v>36</v>
      </c>
      <c r="AE17">
        <v>0</v>
      </c>
      <c r="AF17" s="21">
        <v>36</v>
      </c>
    </row>
    <row r="18" spans="1:32" x14ac:dyDescent="0.35">
      <c r="A18" s="21">
        <v>25</v>
      </c>
      <c r="B18" t="s">
        <v>24</v>
      </c>
      <c r="C18" t="s">
        <v>25</v>
      </c>
      <c r="D18" s="12" t="s">
        <v>26</v>
      </c>
      <c r="E18" t="s">
        <v>63</v>
      </c>
      <c r="F18">
        <f>(E18-D18)</f>
        <v>34633604380</v>
      </c>
      <c r="G18" s="21">
        <f>(E18/D18)*100</f>
        <v>126.3531556312613</v>
      </c>
      <c r="H18">
        <v>37851</v>
      </c>
      <c r="I18">
        <f>(W18+Z18+AC18)</f>
        <v>37867.370517928284</v>
      </c>
      <c r="J18">
        <v>128.83266932270919</v>
      </c>
      <c r="K18">
        <v>11.474103585657369</v>
      </c>
      <c r="L18" s="21">
        <f>J18+K18</f>
        <v>140.30677290836655</v>
      </c>
      <c r="M18">
        <v>10.33067729083665</v>
      </c>
      <c r="N18" s="23">
        <v>0.8605577689243028</v>
      </c>
      <c r="O18" s="21">
        <f>(AC18+AF18)/C18</f>
        <v>10.49402390438247</v>
      </c>
      <c r="P18" s="21">
        <v>0.15936254980079681</v>
      </c>
      <c r="Q18">
        <v>3.9840637450199202E-3</v>
      </c>
      <c r="R18" s="21">
        <f>AF18/C18</f>
        <v>0.16334661354581673</v>
      </c>
      <c r="S18">
        <v>128.41035856573711</v>
      </c>
      <c r="T18" t="s">
        <v>31</v>
      </c>
      <c r="U18" s="8">
        <v>31.075697211155379</v>
      </c>
      <c r="V18" t="s">
        <v>52</v>
      </c>
      <c r="W18" s="23">
        <v>57.370517928286858</v>
      </c>
      <c r="X18">
        <v>32337</v>
      </c>
      <c r="Y18">
        <v>2880</v>
      </c>
      <c r="Z18">
        <v>35217</v>
      </c>
      <c r="AA18">
        <v>2213</v>
      </c>
      <c r="AB18">
        <v>216</v>
      </c>
      <c r="AC18" s="21">
        <v>2593</v>
      </c>
      <c r="AD18">
        <v>40</v>
      </c>
      <c r="AE18">
        <v>1</v>
      </c>
      <c r="AF18" s="21">
        <v>41</v>
      </c>
    </row>
    <row r="19" spans="1:32" x14ac:dyDescent="0.35">
      <c r="A19" s="23">
        <v>26</v>
      </c>
      <c r="B19" t="s">
        <v>24</v>
      </c>
      <c r="C19" t="s">
        <v>25</v>
      </c>
      <c r="D19" s="23" t="s">
        <v>26</v>
      </c>
      <c r="E19" t="s">
        <v>56</v>
      </c>
      <c r="F19">
        <f>(E19-D19)</f>
        <v>39992577160</v>
      </c>
      <c r="G19" s="21">
        <f>(E19/D19)*100</f>
        <v>130.43086703968137</v>
      </c>
      <c r="H19">
        <v>37861</v>
      </c>
      <c r="I19" s="21">
        <f>(W19+Z19+AC19)</f>
        <v>37870.183266932268</v>
      </c>
      <c r="J19">
        <v>128.97211155378491</v>
      </c>
      <c r="K19" s="23">
        <v>11.314741035856571</v>
      </c>
      <c r="L19" s="21">
        <f>J19+K19</f>
        <v>140.28685258964148</v>
      </c>
      <c r="M19">
        <v>10.37450199203187</v>
      </c>
      <c r="N19" s="21">
        <v>0.8366533864541833</v>
      </c>
      <c r="O19" s="10">
        <f>(AC19+AF19)/C19</f>
        <v>10.553784860557769</v>
      </c>
      <c r="P19">
        <v>0.17131474103585659</v>
      </c>
      <c r="Q19" s="21">
        <v>7.9681274900398405E-3</v>
      </c>
      <c r="R19" s="21">
        <f>AF19/C19</f>
        <v>0.17928286852589642</v>
      </c>
      <c r="S19">
        <v>128.58964143426289</v>
      </c>
      <c r="T19" t="s">
        <v>57</v>
      </c>
      <c r="U19" s="21">
        <v>34.262948207171313</v>
      </c>
      <c r="V19" t="s">
        <v>58</v>
      </c>
      <c r="W19" s="21">
        <v>54.183266932270911</v>
      </c>
      <c r="X19">
        <v>32372</v>
      </c>
      <c r="Y19">
        <v>2840</v>
      </c>
      <c r="Z19">
        <v>35212</v>
      </c>
      <c r="AA19">
        <v>2214</v>
      </c>
      <c r="AB19" s="21">
        <v>210</v>
      </c>
      <c r="AC19" s="23">
        <v>2604</v>
      </c>
      <c r="AD19">
        <v>43</v>
      </c>
      <c r="AE19">
        <v>2</v>
      </c>
      <c r="AF19" s="23">
        <v>45</v>
      </c>
    </row>
    <row r="20" spans="1:32" x14ac:dyDescent="0.35">
      <c r="A20" s="15">
        <v>27</v>
      </c>
      <c r="B20" t="s">
        <v>24</v>
      </c>
      <c r="C20" t="s">
        <v>25</v>
      </c>
      <c r="D20" s="12" t="s">
        <v>26</v>
      </c>
      <c r="E20" t="s">
        <v>73</v>
      </c>
      <c r="F20">
        <f>(E20-D20)</f>
        <v>39011994440</v>
      </c>
      <c r="G20" s="21">
        <f>(E20/D20)*100</f>
        <v>129.68472901875947</v>
      </c>
      <c r="H20">
        <v>37873</v>
      </c>
      <c r="I20" s="21">
        <f>(W20+Z20+AC20)</f>
        <v>37880.58167330677</v>
      </c>
      <c r="J20">
        <v>128.85258964143429</v>
      </c>
      <c r="K20" s="8">
        <v>11.466135458167329</v>
      </c>
      <c r="L20" s="21">
        <f>J20+K20</f>
        <v>140.31872509960164</v>
      </c>
      <c r="M20">
        <v>10.38247011952191</v>
      </c>
      <c r="N20" s="21">
        <v>0.78087649402390436</v>
      </c>
      <c r="O20" s="24">
        <f>(AC20+AF20)/C20</f>
        <v>10.569721115537849</v>
      </c>
      <c r="P20" s="23">
        <v>0.18326693227091631</v>
      </c>
      <c r="Q20" s="21">
        <v>3.9840637450199202E-3</v>
      </c>
      <c r="R20" s="23">
        <f>AF20/C20</f>
        <v>0.18725099601593626</v>
      </c>
      <c r="S20">
        <v>128.4980079681275</v>
      </c>
      <c r="T20" t="s">
        <v>48</v>
      </c>
      <c r="U20" s="23">
        <v>33.466135458167329</v>
      </c>
      <c r="V20" t="s">
        <v>74</v>
      </c>
      <c r="W20" s="21">
        <v>54.581673306772913</v>
      </c>
      <c r="X20">
        <v>32342</v>
      </c>
      <c r="Y20">
        <v>2878</v>
      </c>
      <c r="Z20">
        <v>35220</v>
      </c>
      <c r="AA20">
        <v>2222</v>
      </c>
      <c r="AB20" s="21">
        <v>196</v>
      </c>
      <c r="AC20" s="8">
        <v>2606</v>
      </c>
      <c r="AD20">
        <v>46</v>
      </c>
      <c r="AE20">
        <v>1</v>
      </c>
      <c r="AF20" s="9">
        <v>47</v>
      </c>
    </row>
    <row r="21" spans="1:32" x14ac:dyDescent="0.35">
      <c r="A21" s="21">
        <v>28</v>
      </c>
      <c r="B21" t="s">
        <v>24</v>
      </c>
      <c r="C21" t="s">
        <v>25</v>
      </c>
      <c r="D21" s="12" t="s">
        <v>26</v>
      </c>
      <c r="E21" t="s">
        <v>90</v>
      </c>
      <c r="F21">
        <f>(E21-D21)</f>
        <v>36266941760</v>
      </c>
      <c r="G21" s="21">
        <f>(E21/D21)*100</f>
        <v>127.59598308003686</v>
      </c>
      <c r="H21">
        <v>37874</v>
      </c>
      <c r="I21" s="21">
        <f>(W21+Z21+AC21)</f>
        <v>37880.792828685262</v>
      </c>
      <c r="J21">
        <v>128.796812749004</v>
      </c>
      <c r="K21" s="21">
        <v>11.55776892430279</v>
      </c>
      <c r="L21" s="8">
        <f>J21+K21</f>
        <v>140.3545816733068</v>
      </c>
      <c r="M21">
        <v>10.358565737051791</v>
      </c>
      <c r="N21" s="23">
        <v>0.72908366533864544</v>
      </c>
      <c r="O21" s="23">
        <f>(AC21+AF21)/C21</f>
        <v>10.53784860557769</v>
      </c>
      <c r="P21">
        <v>0.17131474103585659</v>
      </c>
      <c r="Q21">
        <v>7.9681274900398405E-3</v>
      </c>
      <c r="R21" s="21">
        <f>AF21/C21</f>
        <v>0.17928286852589642</v>
      </c>
      <c r="S21">
        <v>128.45418326693229</v>
      </c>
      <c r="T21" t="s">
        <v>51</v>
      </c>
      <c r="U21" s="23">
        <v>34.661354581673308</v>
      </c>
      <c r="V21" t="s">
        <v>91</v>
      </c>
      <c r="W21">
        <v>51.792828685258961</v>
      </c>
      <c r="X21">
        <v>32328</v>
      </c>
      <c r="Y21">
        <v>2901</v>
      </c>
      <c r="Z21">
        <v>35229</v>
      </c>
      <c r="AA21">
        <v>2237</v>
      </c>
      <c r="AB21">
        <v>183</v>
      </c>
      <c r="AC21" s="21">
        <v>2600</v>
      </c>
      <c r="AD21">
        <v>43</v>
      </c>
      <c r="AE21">
        <v>2</v>
      </c>
      <c r="AF21" s="23">
        <v>45</v>
      </c>
    </row>
    <row r="22" spans="1:32" x14ac:dyDescent="0.35">
      <c r="A22" s="21">
        <v>29</v>
      </c>
      <c r="B22" t="s">
        <v>24</v>
      </c>
      <c r="C22" t="s">
        <v>25</v>
      </c>
      <c r="D22" s="12" t="s">
        <v>26</v>
      </c>
      <c r="E22" t="s">
        <v>83</v>
      </c>
      <c r="F22">
        <f>(E22-D22)</f>
        <v>35399896360</v>
      </c>
      <c r="G22" s="21">
        <f>(E22/D22)*100</f>
        <v>126.93623706819051</v>
      </c>
      <c r="H22">
        <v>37826</v>
      </c>
      <c r="I22">
        <f>(W22+Z22+AC22)</f>
        <v>37839.589641434264</v>
      </c>
      <c r="J22">
        <v>128.70119521912349</v>
      </c>
      <c r="K22" s="10">
        <v>11.446215139442231</v>
      </c>
      <c r="L22" s="23">
        <f>J22+K22</f>
        <v>140.14741035856571</v>
      </c>
      <c r="M22">
        <v>10.39840637450199</v>
      </c>
      <c r="N22" s="21">
        <v>0.81673306772908372</v>
      </c>
      <c r="O22" s="10">
        <f>(AC22+AF22)/C22</f>
        <v>10.553784860557769</v>
      </c>
      <c r="P22" s="21">
        <v>0.1394422310756972</v>
      </c>
      <c r="Q22">
        <v>1.5936254980079681E-2</v>
      </c>
      <c r="R22" s="21">
        <f>AF22/C22</f>
        <v>0.15537848605577689</v>
      </c>
      <c r="S22">
        <v>128.47011952191241</v>
      </c>
      <c r="T22" t="s">
        <v>84</v>
      </c>
      <c r="U22">
        <v>33.864541832669318</v>
      </c>
      <c r="V22" t="s">
        <v>85</v>
      </c>
      <c r="W22">
        <v>52.589641434262937</v>
      </c>
      <c r="X22">
        <v>32304</v>
      </c>
      <c r="Y22">
        <v>2873</v>
      </c>
      <c r="Z22">
        <v>35177</v>
      </c>
      <c r="AA22">
        <v>2249</v>
      </c>
      <c r="AB22">
        <v>205</v>
      </c>
      <c r="AC22" s="10">
        <v>2610</v>
      </c>
      <c r="AD22">
        <v>35</v>
      </c>
      <c r="AE22">
        <v>4</v>
      </c>
      <c r="AF22" s="21">
        <v>39</v>
      </c>
    </row>
    <row r="23" spans="1:32" x14ac:dyDescent="0.35">
      <c r="A23" s="21">
        <v>30</v>
      </c>
      <c r="B23" t="s">
        <v>24</v>
      </c>
      <c r="C23" t="s">
        <v>25</v>
      </c>
      <c r="D23" s="23" t="s">
        <v>26</v>
      </c>
      <c r="E23" t="s">
        <v>65</v>
      </c>
      <c r="F23">
        <f>(E23-D23)</f>
        <v>35889415260</v>
      </c>
      <c r="G23" s="21">
        <f>(E23/D23)*100</f>
        <v>127.30871830388865</v>
      </c>
      <c r="H23">
        <v>37854</v>
      </c>
      <c r="I23" s="21">
        <f>(W23+Z23+AC23)</f>
        <v>37870.77689243028</v>
      </c>
      <c r="J23">
        <v>128.68127490039839</v>
      </c>
      <c r="K23">
        <v>11.685258964143429</v>
      </c>
      <c r="L23" s="8">
        <f>J23+K23</f>
        <v>140.36653386454182</v>
      </c>
      <c r="M23">
        <v>10.290836653386449</v>
      </c>
      <c r="N23" s="10">
        <v>0.87250996015936255</v>
      </c>
      <c r="O23" s="21">
        <f>(AC23+AF23)/C23</f>
        <v>10.446215139442231</v>
      </c>
      <c r="P23" s="21">
        <v>0.14342629482071709</v>
      </c>
      <c r="Q23">
        <v>1.1952191235059761E-2</v>
      </c>
      <c r="R23" s="21">
        <f>AF23/C23</f>
        <v>0.15537848605577689</v>
      </c>
      <c r="S23">
        <v>128.17928286852589</v>
      </c>
      <c r="T23" t="s">
        <v>66</v>
      </c>
      <c r="U23" s="8">
        <v>31.872509960159359</v>
      </c>
      <c r="V23" t="s">
        <v>67</v>
      </c>
      <c r="W23" s="21">
        <v>55.776892430278878</v>
      </c>
      <c r="X23">
        <v>32299</v>
      </c>
      <c r="Y23">
        <v>2933</v>
      </c>
      <c r="Z23">
        <v>35232</v>
      </c>
      <c r="AA23">
        <v>2208</v>
      </c>
      <c r="AB23">
        <v>219</v>
      </c>
      <c r="AC23" s="21">
        <v>2583</v>
      </c>
      <c r="AD23">
        <v>36</v>
      </c>
      <c r="AE23">
        <v>3</v>
      </c>
      <c r="AF23" s="21">
        <v>39</v>
      </c>
    </row>
    <row r="24" spans="1:32" x14ac:dyDescent="0.35">
      <c r="A24" s="15">
        <v>31</v>
      </c>
      <c r="B24" t="s">
        <v>24</v>
      </c>
      <c r="C24" t="s">
        <v>25</v>
      </c>
      <c r="D24" s="21" t="s">
        <v>61</v>
      </c>
      <c r="E24" t="s">
        <v>86</v>
      </c>
      <c r="F24">
        <f>(E24-D24)</f>
        <v>38708700340</v>
      </c>
      <c r="G24">
        <f>(E24/D24)*100</f>
        <v>129.57176442636413</v>
      </c>
      <c r="H24">
        <v>37735</v>
      </c>
      <c r="I24" s="21">
        <f>(W24+Z24+AC24)</f>
        <v>37742.378486055779</v>
      </c>
      <c r="J24">
        <v>128.34661354581669</v>
      </c>
      <c r="K24" s="21">
        <v>11.509960159362549</v>
      </c>
      <c r="L24" s="23">
        <f>J24+K24</f>
        <v>139.85657370517924</v>
      </c>
      <c r="M24">
        <v>10.290836653386449</v>
      </c>
      <c r="N24" s="21">
        <v>0.73705179282868527</v>
      </c>
      <c r="O24" s="21">
        <f>(AC24+AF24)/C24</f>
        <v>10.482071713147411</v>
      </c>
      <c r="P24" s="10">
        <v>0.18725099601593631</v>
      </c>
      <c r="Q24">
        <v>3.9840637450199202E-3</v>
      </c>
      <c r="R24" s="10">
        <f>AF24/C24</f>
        <v>0.19123505976095617</v>
      </c>
      <c r="S24">
        <v>127.9402390438247</v>
      </c>
      <c r="T24" t="s">
        <v>31</v>
      </c>
      <c r="U24" s="8">
        <v>31.075697211155379</v>
      </c>
      <c r="V24" t="s">
        <v>87</v>
      </c>
      <c r="W24">
        <v>55.378486055776889</v>
      </c>
      <c r="X24">
        <v>32215</v>
      </c>
      <c r="Y24">
        <v>2889</v>
      </c>
      <c r="Z24">
        <v>35104</v>
      </c>
      <c r="AA24">
        <v>2206</v>
      </c>
      <c r="AB24">
        <v>185</v>
      </c>
      <c r="AC24" s="8">
        <v>2583</v>
      </c>
      <c r="AD24">
        <v>47</v>
      </c>
      <c r="AE24">
        <v>1</v>
      </c>
      <c r="AF24" s="8">
        <v>48</v>
      </c>
    </row>
    <row r="25" spans="1:32" x14ac:dyDescent="0.35">
      <c r="A25">
        <v>32</v>
      </c>
      <c r="B25" t="s">
        <v>24</v>
      </c>
      <c r="C25" t="s">
        <v>25</v>
      </c>
      <c r="D25" s="21" t="s">
        <v>38</v>
      </c>
      <c r="E25" t="s">
        <v>39</v>
      </c>
      <c r="F25">
        <f>(E25-D25)</f>
        <v>39156912800</v>
      </c>
      <c r="G25">
        <f>(E25/D25)*100</f>
        <v>129.89647856461158</v>
      </c>
      <c r="H25">
        <v>37755</v>
      </c>
      <c r="I25" s="21">
        <f>(W25+Z25+AC25)</f>
        <v>37775.541832669325</v>
      </c>
      <c r="J25">
        <v>128.1434262948207</v>
      </c>
      <c r="K25" s="21">
        <v>11.812749003984059</v>
      </c>
      <c r="L25" s="23">
        <f>J25+K25</f>
        <v>139.95617529880477</v>
      </c>
      <c r="M25">
        <v>10.28685258964143</v>
      </c>
      <c r="N25" s="8">
        <v>0.86852589641434264</v>
      </c>
      <c r="O25" s="21">
        <f>(AC25+AF25)/C25</f>
        <v>10.46215139442231</v>
      </c>
      <c r="P25">
        <v>0.17131474103585659</v>
      </c>
      <c r="Q25">
        <v>3.9840637450199202E-3</v>
      </c>
      <c r="R25" s="21">
        <f>AF25/C25</f>
        <v>0.1752988047808765</v>
      </c>
      <c r="S25">
        <v>127.5816733067729</v>
      </c>
      <c r="T25" t="s">
        <v>40</v>
      </c>
      <c r="U25" s="10">
        <v>29.083665338645421</v>
      </c>
      <c r="V25" t="s">
        <v>41</v>
      </c>
      <c r="W25" s="24">
        <v>64.541832669322702</v>
      </c>
      <c r="X25">
        <v>32164</v>
      </c>
      <c r="Y25">
        <v>2965</v>
      </c>
      <c r="Z25">
        <v>35129</v>
      </c>
      <c r="AA25">
        <v>2188</v>
      </c>
      <c r="AB25">
        <v>218</v>
      </c>
      <c r="AC25" s="21">
        <v>2582</v>
      </c>
      <c r="AD25">
        <v>43</v>
      </c>
      <c r="AE25">
        <v>1</v>
      </c>
      <c r="AF25">
        <v>44</v>
      </c>
    </row>
    <row r="26" spans="1:32" x14ac:dyDescent="0.35">
      <c r="A26" s="21">
        <v>33</v>
      </c>
      <c r="B26" t="s">
        <v>24</v>
      </c>
      <c r="C26" t="s">
        <v>25</v>
      </c>
      <c r="D26" s="23" t="s">
        <v>35</v>
      </c>
      <c r="E26" t="s">
        <v>36</v>
      </c>
      <c r="F26">
        <f>(E26-D26)</f>
        <v>39441023080</v>
      </c>
      <c r="G26">
        <f>(E26/D26)*100</f>
        <v>129.99342434043174</v>
      </c>
      <c r="H26">
        <v>37924</v>
      </c>
      <c r="I26" s="23">
        <f>(W26+Z26+AC26)</f>
        <v>37936.167330677294</v>
      </c>
      <c r="J26">
        <v>129.04780876494021</v>
      </c>
      <c r="K26">
        <v>11.533864541832671</v>
      </c>
      <c r="L26" s="24">
        <f>J26+K26</f>
        <v>140.58167330677287</v>
      </c>
      <c r="M26">
        <v>10.32669322709163</v>
      </c>
      <c r="N26" s="21">
        <v>0.82868525896414347</v>
      </c>
      <c r="O26" s="21">
        <f>(AC26+AF26)/C26</f>
        <v>10.509960159362549</v>
      </c>
      <c r="P26" s="21">
        <v>0.17928286852589639</v>
      </c>
      <c r="Q26">
        <v>3.9840637450199202E-3</v>
      </c>
      <c r="R26" s="21">
        <f>AF26/C26</f>
        <v>0.18326693227091634</v>
      </c>
      <c r="S26">
        <v>128.46215139442231</v>
      </c>
      <c r="T26" t="s">
        <v>37</v>
      </c>
      <c r="U26" s="21">
        <v>32.270916334661351</v>
      </c>
      <c r="V26" t="s">
        <v>32</v>
      </c>
      <c r="W26">
        <v>58.167330677290842</v>
      </c>
      <c r="X26">
        <v>32391</v>
      </c>
      <c r="Y26">
        <v>2895</v>
      </c>
      <c r="Z26">
        <v>35286</v>
      </c>
      <c r="AA26">
        <v>2200</v>
      </c>
      <c r="AB26">
        <v>208</v>
      </c>
      <c r="AC26" s="21">
        <v>2592</v>
      </c>
      <c r="AD26">
        <v>45</v>
      </c>
      <c r="AE26">
        <v>1</v>
      </c>
      <c r="AF26" s="21">
        <v>46</v>
      </c>
    </row>
    <row r="27" spans="1:32" x14ac:dyDescent="0.35">
      <c r="A27">
        <v>34</v>
      </c>
      <c r="B27" t="s">
        <v>24</v>
      </c>
      <c r="C27" t="s">
        <v>25</v>
      </c>
      <c r="D27" s="23" t="s">
        <v>35</v>
      </c>
      <c r="E27" t="s">
        <v>68</v>
      </c>
      <c r="F27">
        <f>(E27-D27)</f>
        <v>35359989160</v>
      </c>
      <c r="G27" s="21">
        <f>(E27/D27)*100</f>
        <v>126.8899505319056</v>
      </c>
      <c r="H27">
        <v>37887</v>
      </c>
      <c r="I27" s="21">
        <f>(W27+Z27+AC27)</f>
        <v>37902.77689243028</v>
      </c>
      <c r="J27">
        <v>128.7250996015936</v>
      </c>
      <c r="K27" s="23">
        <v>11.749003984063741</v>
      </c>
      <c r="L27" s="10">
        <f>J27+K27</f>
        <v>140.47410358565733</v>
      </c>
      <c r="M27">
        <v>10.31075697211155</v>
      </c>
      <c r="N27" s="21">
        <v>0.86454183266932272</v>
      </c>
      <c r="O27" s="23">
        <f>(AC27+AF27)/C27</f>
        <v>10.47011952191235</v>
      </c>
      <c r="P27">
        <v>0.151394422310757</v>
      </c>
      <c r="Q27">
        <v>7.9681274900398405E-3</v>
      </c>
      <c r="R27" s="21">
        <f>AF27/C27</f>
        <v>0.15936254980079681</v>
      </c>
      <c r="S27">
        <v>128.207171314741</v>
      </c>
      <c r="T27" t="s">
        <v>37</v>
      </c>
      <c r="U27">
        <v>32.270916334661351</v>
      </c>
      <c r="V27" t="s">
        <v>67</v>
      </c>
      <c r="W27">
        <v>55.776892430278878</v>
      </c>
      <c r="X27">
        <v>32310</v>
      </c>
      <c r="Y27">
        <v>2949</v>
      </c>
      <c r="Z27">
        <v>35259</v>
      </c>
      <c r="AA27">
        <v>2211</v>
      </c>
      <c r="AB27">
        <v>217</v>
      </c>
      <c r="AC27" s="23">
        <v>2588</v>
      </c>
      <c r="AD27">
        <v>38</v>
      </c>
      <c r="AE27">
        <v>2</v>
      </c>
      <c r="AF27" s="21">
        <v>40</v>
      </c>
    </row>
    <row r="28" spans="1:32" x14ac:dyDescent="0.35">
      <c r="A28">
        <v>35</v>
      </c>
      <c r="B28" t="s">
        <v>24</v>
      </c>
      <c r="C28" t="s">
        <v>25</v>
      </c>
      <c r="D28" s="21" t="s">
        <v>35</v>
      </c>
      <c r="E28" t="s">
        <v>92</v>
      </c>
      <c r="F28">
        <f>(E28-D28)</f>
        <v>33233242100</v>
      </c>
      <c r="G28">
        <f>(E28/D28)*100</f>
        <v>125.272638858576</v>
      </c>
      <c r="H28">
        <v>37875</v>
      </c>
      <c r="I28" s="21">
        <f>(W28+Z28+AC28)</f>
        <v>37892.378486055779</v>
      </c>
      <c r="J28">
        <v>128.88446215139439</v>
      </c>
      <c r="K28" s="21">
        <v>11.553784860557769</v>
      </c>
      <c r="L28" s="8">
        <f>J28+K28</f>
        <v>140.43824701195217</v>
      </c>
      <c r="M28">
        <v>10.306772908366529</v>
      </c>
      <c r="N28">
        <v>0.79681274900398402</v>
      </c>
      <c r="O28" s="21">
        <f>(AC28+AF28)/C28</f>
        <v>10.458167330677291</v>
      </c>
      <c r="P28">
        <v>0.13545816733067731</v>
      </c>
      <c r="Q28" s="21">
        <v>1.5936254980079681E-2</v>
      </c>
      <c r="R28" s="21">
        <f>AF28/C28</f>
        <v>0.15139442231075698</v>
      </c>
      <c r="S28">
        <v>128.46215139442231</v>
      </c>
      <c r="T28" t="s">
        <v>51</v>
      </c>
      <c r="U28">
        <v>34.661354581673308</v>
      </c>
      <c r="V28" t="s">
        <v>87</v>
      </c>
      <c r="W28" s="21">
        <v>55.378486055776889</v>
      </c>
      <c r="X28">
        <v>32350</v>
      </c>
      <c r="Y28">
        <v>2900</v>
      </c>
      <c r="Z28">
        <v>35250</v>
      </c>
      <c r="AA28">
        <v>2235</v>
      </c>
      <c r="AB28">
        <v>200</v>
      </c>
      <c r="AC28" s="21">
        <v>2587</v>
      </c>
      <c r="AD28">
        <v>34</v>
      </c>
      <c r="AE28">
        <v>4</v>
      </c>
      <c r="AF28" s="21">
        <v>38</v>
      </c>
    </row>
    <row r="29" spans="1:32" x14ac:dyDescent="0.35">
      <c r="A29" s="21">
        <v>36</v>
      </c>
      <c r="B29" t="s">
        <v>24</v>
      </c>
      <c r="C29" t="s">
        <v>25</v>
      </c>
      <c r="D29" s="23" t="s">
        <v>35</v>
      </c>
      <c r="E29" t="s">
        <v>42</v>
      </c>
      <c r="F29">
        <f>(E29-D29)</f>
        <v>48151148180</v>
      </c>
      <c r="G29" s="8">
        <f>(E29/D29)*100</f>
        <v>136.6171490255812</v>
      </c>
      <c r="H29">
        <v>37914</v>
      </c>
      <c r="I29">
        <f>(W29+Z29+AC29)</f>
        <v>37926.760956175298</v>
      </c>
      <c r="J29">
        <v>128.90438247011949</v>
      </c>
      <c r="K29" s="21">
        <v>11.613545816733071</v>
      </c>
      <c r="L29" s="10">
        <f>J29+K29</f>
        <v>140.51792828685257</v>
      </c>
      <c r="M29">
        <v>10.34661354581673</v>
      </c>
      <c r="N29" s="21">
        <v>0.82071713147410363</v>
      </c>
      <c r="O29" s="21">
        <f>(AC29+AF29)/C29</f>
        <v>10.533864541832669</v>
      </c>
      <c r="P29" s="21">
        <v>0.1633466135458167</v>
      </c>
      <c r="Q29">
        <v>2.3904382470119521E-2</v>
      </c>
      <c r="R29" s="21">
        <f>AF29/C29</f>
        <v>0.18725099601593626</v>
      </c>
      <c r="S29">
        <v>128.37051792828689</v>
      </c>
      <c r="T29" t="s">
        <v>37</v>
      </c>
      <c r="U29" s="23">
        <v>32.270916334661351</v>
      </c>
      <c r="V29" t="s">
        <v>43</v>
      </c>
      <c r="W29">
        <v>59.760956175298809</v>
      </c>
      <c r="X29">
        <v>32355</v>
      </c>
      <c r="Y29">
        <v>2915</v>
      </c>
      <c r="Z29">
        <v>35270</v>
      </c>
      <c r="AA29">
        <v>2203</v>
      </c>
      <c r="AB29">
        <v>206</v>
      </c>
      <c r="AC29" s="21">
        <v>2597</v>
      </c>
      <c r="AD29">
        <v>41</v>
      </c>
      <c r="AE29">
        <v>6</v>
      </c>
      <c r="AF29" s="9">
        <v>47</v>
      </c>
    </row>
    <row r="30" spans="1:32" x14ac:dyDescent="0.35">
      <c r="A30" s="21">
        <v>37</v>
      </c>
      <c r="B30" t="s">
        <v>24</v>
      </c>
      <c r="C30" t="s">
        <v>25</v>
      </c>
      <c r="D30" s="21" t="s">
        <v>35</v>
      </c>
      <c r="E30" t="s">
        <v>69</v>
      </c>
      <c r="F30">
        <f>(E30-D30)</f>
        <v>35971527040</v>
      </c>
      <c r="G30">
        <f>(E30/D30)*100</f>
        <v>127.35500223956247</v>
      </c>
      <c r="H30">
        <v>37858</v>
      </c>
      <c r="I30" s="21">
        <f>(W30+Z30+AC30)</f>
        <v>37876.573705179282</v>
      </c>
      <c r="J30">
        <v>128.58964143426289</v>
      </c>
      <c r="K30">
        <v>11.768924302788839</v>
      </c>
      <c r="L30" s="8">
        <f>J30+K30</f>
        <v>140.35856573705172</v>
      </c>
      <c r="M30">
        <v>10.31872509960159</v>
      </c>
      <c r="N30" s="21">
        <v>0.82071713147410363</v>
      </c>
      <c r="O30" s="21">
        <f>(AC30+AF30)/C30</f>
        <v>10.47011952191235</v>
      </c>
      <c r="P30">
        <v>0.13147410358565739</v>
      </c>
      <c r="Q30">
        <v>1.9920318725099601E-2</v>
      </c>
      <c r="R30" s="21">
        <f>AF30/C30</f>
        <v>0.15139442231075698</v>
      </c>
      <c r="S30">
        <v>128.21912350597611</v>
      </c>
      <c r="T30" t="s">
        <v>70</v>
      </c>
      <c r="U30">
        <v>35.458167330677291</v>
      </c>
      <c r="V30" t="s">
        <v>71</v>
      </c>
      <c r="W30">
        <v>56.573705179282882</v>
      </c>
      <c r="X30">
        <v>32276</v>
      </c>
      <c r="Y30">
        <v>2954</v>
      </c>
      <c r="Z30">
        <v>35230</v>
      </c>
      <c r="AA30">
        <v>2232</v>
      </c>
      <c r="AB30">
        <v>206</v>
      </c>
      <c r="AC30">
        <v>2590</v>
      </c>
      <c r="AD30">
        <v>33</v>
      </c>
      <c r="AE30">
        <v>5</v>
      </c>
      <c r="AF30" s="21">
        <v>38</v>
      </c>
    </row>
    <row r="31" spans="1:32" x14ac:dyDescent="0.35">
      <c r="A31" s="21">
        <v>38</v>
      </c>
      <c r="B31" t="s">
        <v>24</v>
      </c>
      <c r="C31" t="s">
        <v>25</v>
      </c>
      <c r="D31" s="23" t="s">
        <v>35</v>
      </c>
      <c r="E31" t="s">
        <v>82</v>
      </c>
      <c r="F31">
        <f>(E31-D31)</f>
        <v>42296120080</v>
      </c>
      <c r="G31">
        <f>(E31/D31)*100</f>
        <v>132.16461892837125</v>
      </c>
      <c r="H31">
        <v>37880</v>
      </c>
      <c r="I31" s="21">
        <f>(W31+Z31+AC31)</f>
        <v>37896.167330677294</v>
      </c>
      <c r="J31">
        <v>128.53784860557769</v>
      </c>
      <c r="K31" s="23">
        <v>11.89243027888446</v>
      </c>
      <c r="L31" s="8">
        <f>J31+K31</f>
        <v>140.43027888446215</v>
      </c>
      <c r="M31">
        <v>10.31872509960159</v>
      </c>
      <c r="N31" s="21">
        <v>0.81673306772908372</v>
      </c>
      <c r="O31" s="21">
        <f>(AC31+AF31)/C31</f>
        <v>10.48605577689243</v>
      </c>
      <c r="P31">
        <v>0.14342629482071709</v>
      </c>
      <c r="Q31">
        <v>2.3904382470119521E-2</v>
      </c>
      <c r="R31" s="21">
        <f>AF31/C31</f>
        <v>0.16733067729083664</v>
      </c>
      <c r="S31">
        <v>128.09561752988051</v>
      </c>
      <c r="T31" t="s">
        <v>48</v>
      </c>
      <c r="U31">
        <v>33.466135458167329</v>
      </c>
      <c r="V31" t="s">
        <v>32</v>
      </c>
      <c r="W31">
        <v>58.167330677290842</v>
      </c>
      <c r="X31">
        <v>32263</v>
      </c>
      <c r="Y31">
        <v>2985</v>
      </c>
      <c r="Z31">
        <v>35248</v>
      </c>
      <c r="AA31">
        <v>2217</v>
      </c>
      <c r="AB31">
        <v>205</v>
      </c>
      <c r="AC31" s="23">
        <v>2590</v>
      </c>
      <c r="AD31">
        <v>36</v>
      </c>
      <c r="AE31">
        <v>6</v>
      </c>
      <c r="AF31" s="21">
        <v>42</v>
      </c>
    </row>
    <row r="32" spans="1:32" x14ac:dyDescent="0.35">
      <c r="A32">
        <v>39</v>
      </c>
      <c r="B32" t="s">
        <v>24</v>
      </c>
      <c r="C32" t="s">
        <v>25</v>
      </c>
      <c r="D32" s="21" t="s">
        <v>35</v>
      </c>
      <c r="E32" t="s">
        <v>93</v>
      </c>
      <c r="F32">
        <f>(E32-D32)</f>
        <v>29938094660</v>
      </c>
      <c r="G32">
        <f>(E32/D32)*100</f>
        <v>122.76680235347976</v>
      </c>
      <c r="H32">
        <v>37872</v>
      </c>
      <c r="I32" s="10">
        <f>(W32+Z32+AC32)</f>
        <v>37890.573705179282</v>
      </c>
      <c r="J32">
        <v>128.36254980079681</v>
      </c>
      <c r="K32">
        <v>12.055776892430281</v>
      </c>
      <c r="L32" s="8">
        <f>J32+K32</f>
        <v>140.4183266932271</v>
      </c>
      <c r="M32">
        <v>10.314741035856571</v>
      </c>
      <c r="N32" s="16">
        <v>0.8127490039840638</v>
      </c>
      <c r="O32" s="21">
        <f>(AC32+AF32)/C32</f>
        <v>10.466135458167331</v>
      </c>
      <c r="P32">
        <v>0.14741035856573709</v>
      </c>
      <c r="Q32">
        <v>3.9840637450199202E-3</v>
      </c>
      <c r="R32" s="21">
        <f>AF32/C32</f>
        <v>0.15139442231075698</v>
      </c>
      <c r="S32">
        <v>127.95617529880479</v>
      </c>
      <c r="T32" t="s">
        <v>48</v>
      </c>
      <c r="U32">
        <v>33.466135458167329</v>
      </c>
      <c r="V32" t="s">
        <v>71</v>
      </c>
      <c r="W32">
        <v>56.573705179282882</v>
      </c>
      <c r="X32">
        <v>32219</v>
      </c>
      <c r="Y32">
        <v>3026</v>
      </c>
      <c r="Z32">
        <v>35245</v>
      </c>
      <c r="AA32">
        <v>2233</v>
      </c>
      <c r="AB32">
        <v>204</v>
      </c>
      <c r="AC32">
        <v>2589</v>
      </c>
      <c r="AD32">
        <v>37</v>
      </c>
      <c r="AE32">
        <v>1</v>
      </c>
      <c r="AF32">
        <v>38</v>
      </c>
    </row>
    <row r="33" spans="1:32" x14ac:dyDescent="0.35">
      <c r="A33" s="21">
        <v>40</v>
      </c>
      <c r="B33" t="s">
        <v>24</v>
      </c>
      <c r="C33" t="s">
        <v>25</v>
      </c>
      <c r="D33" s="23" t="s">
        <v>26</v>
      </c>
      <c r="E33" t="s">
        <v>64</v>
      </c>
      <c r="F33">
        <f>(E33-D33)</f>
        <v>38695690640</v>
      </c>
      <c r="G33">
        <f>(E33/D33)*100</f>
        <v>129.44404938355024</v>
      </c>
      <c r="H33">
        <v>37866</v>
      </c>
      <c r="I33">
        <f>(W33+Z33+AC33)</f>
        <v>37875.972111553783</v>
      </c>
      <c r="J33">
        <v>129.36653386454179</v>
      </c>
      <c r="K33">
        <v>10.9402390438247</v>
      </c>
      <c r="L33" s="21">
        <f>J33+K33</f>
        <v>140.3067729083665</v>
      </c>
      <c r="M33">
        <v>10.366533864541831</v>
      </c>
      <c r="N33" s="16">
        <v>0.79282868525896411</v>
      </c>
      <c r="O33" s="10">
        <f>(AC33+AF33)/C33</f>
        <v>10.553784860557769</v>
      </c>
      <c r="P33" s="21">
        <v>0.18326693227091631</v>
      </c>
      <c r="Q33">
        <v>3.9840637450199202E-3</v>
      </c>
      <c r="R33" s="21">
        <f>AF33/C33</f>
        <v>0.18725099601593626</v>
      </c>
      <c r="S33">
        <v>129.04382470119521</v>
      </c>
      <c r="T33" t="s">
        <v>31</v>
      </c>
      <c r="U33" s="8">
        <v>31.075697211155379</v>
      </c>
      <c r="V33" t="s">
        <v>49</v>
      </c>
      <c r="W33" s="21">
        <v>56.972111553784863</v>
      </c>
      <c r="X33">
        <v>32471</v>
      </c>
      <c r="Y33">
        <v>2746</v>
      </c>
      <c r="Z33">
        <v>35217</v>
      </c>
      <c r="AA33">
        <v>2215</v>
      </c>
      <c r="AB33">
        <v>199</v>
      </c>
      <c r="AC33" s="21">
        <v>2602</v>
      </c>
      <c r="AD33">
        <v>46</v>
      </c>
      <c r="AE33">
        <v>1</v>
      </c>
      <c r="AF33" s="9">
        <v>47</v>
      </c>
    </row>
    <row r="34" spans="1:32" x14ac:dyDescent="0.35">
      <c r="A34">
        <v>41</v>
      </c>
      <c r="B34" t="s">
        <v>24</v>
      </c>
      <c r="C34" t="s">
        <v>25</v>
      </c>
      <c r="D34" s="23" t="s">
        <v>26</v>
      </c>
      <c r="E34" t="s">
        <v>53</v>
      </c>
      <c r="F34">
        <f>(E34-D34)</f>
        <v>47053193320</v>
      </c>
      <c r="G34" s="8">
        <f>(E34/D34)*100</f>
        <v>135.80338081201427</v>
      </c>
      <c r="H34">
        <v>37866</v>
      </c>
      <c r="I34" s="21">
        <f>(W34+Z34+AC34)</f>
        <v>37882.346613545815</v>
      </c>
      <c r="J34">
        <v>128.68127490039839</v>
      </c>
      <c r="K34" s="21">
        <v>11.62549800796813</v>
      </c>
      <c r="L34" s="21">
        <f>J34+K34</f>
        <v>140.30677290836653</v>
      </c>
      <c r="M34">
        <v>10.366533864541831</v>
      </c>
      <c r="N34" s="17">
        <v>0.82868525896414347</v>
      </c>
      <c r="O34" s="10">
        <f>(AC34+AF34)/C34</f>
        <v>10.553784860557769</v>
      </c>
      <c r="P34">
        <v>0.16733067729083659</v>
      </c>
      <c r="Q34">
        <v>1.9920318725099601E-2</v>
      </c>
      <c r="R34" s="21">
        <f>AF34/C34</f>
        <v>0.18725099601593626</v>
      </c>
      <c r="S34">
        <v>128.27091633466139</v>
      </c>
      <c r="T34" t="s">
        <v>54</v>
      </c>
      <c r="U34" s="10">
        <v>30.2788844621514</v>
      </c>
      <c r="V34" t="s">
        <v>55</v>
      </c>
      <c r="W34" s="10">
        <v>63.34661354581673</v>
      </c>
      <c r="X34">
        <v>32299</v>
      </c>
      <c r="Y34">
        <v>2918</v>
      </c>
      <c r="Z34">
        <v>35217</v>
      </c>
      <c r="AA34">
        <v>2206</v>
      </c>
      <c r="AB34">
        <v>208</v>
      </c>
      <c r="AC34" s="21">
        <v>2602</v>
      </c>
      <c r="AD34">
        <v>42</v>
      </c>
      <c r="AE34">
        <v>5</v>
      </c>
      <c r="AF34" s="9">
        <v>47</v>
      </c>
    </row>
    <row r="35" spans="1:32" x14ac:dyDescent="0.35">
      <c r="A35" s="21">
        <v>42</v>
      </c>
      <c r="B35" t="s">
        <v>24</v>
      </c>
      <c r="C35" t="s">
        <v>25</v>
      </c>
      <c r="D35" s="23" t="s">
        <v>26</v>
      </c>
      <c r="E35" t="s">
        <v>88</v>
      </c>
      <c r="F35">
        <f>(E35-D35)</f>
        <v>40406397600</v>
      </c>
      <c r="G35">
        <f>(E35/D35)*100</f>
        <v>130.74574834221812</v>
      </c>
      <c r="H35">
        <v>37866</v>
      </c>
      <c r="I35">
        <f>(W35+Z35+AC35)</f>
        <v>37876.768924302785</v>
      </c>
      <c r="J35">
        <v>128.45019920318731</v>
      </c>
      <c r="K35">
        <v>11.856573705179279</v>
      </c>
      <c r="L35" s="21">
        <f>J35+K35</f>
        <v>140.30677290836658</v>
      </c>
      <c r="M35">
        <v>10.366533864541831</v>
      </c>
      <c r="N35" s="17">
        <v>0.76494023904382469</v>
      </c>
      <c r="O35" s="10">
        <f>(AC35+AF35)/C35</f>
        <v>10.553784860557769</v>
      </c>
      <c r="P35" s="21">
        <v>0.17928286852589639</v>
      </c>
      <c r="Q35">
        <v>7.9681274900398405E-3</v>
      </c>
      <c r="R35" s="21">
        <f>AF35/C35</f>
        <v>0.18725099601593626</v>
      </c>
      <c r="S35">
        <v>128.10756972111551</v>
      </c>
      <c r="T35" t="s">
        <v>80</v>
      </c>
      <c r="U35">
        <v>32.669322709163353</v>
      </c>
      <c r="V35" t="s">
        <v>46</v>
      </c>
      <c r="W35">
        <v>57.768924302788847</v>
      </c>
      <c r="X35">
        <v>32241</v>
      </c>
      <c r="Y35">
        <v>2976</v>
      </c>
      <c r="Z35">
        <v>35217</v>
      </c>
      <c r="AA35">
        <v>2222</v>
      </c>
      <c r="AB35">
        <v>192</v>
      </c>
      <c r="AC35" s="21">
        <v>2602</v>
      </c>
      <c r="AD35">
        <v>45</v>
      </c>
      <c r="AE35">
        <v>2</v>
      </c>
      <c r="AF35" s="9">
        <v>47</v>
      </c>
    </row>
    <row r="36" spans="1:32" x14ac:dyDescent="0.35">
      <c r="A36">
        <v>43</v>
      </c>
      <c r="B36" t="s">
        <v>24</v>
      </c>
      <c r="C36" t="s">
        <v>25</v>
      </c>
      <c r="D36" s="23" t="s">
        <v>26</v>
      </c>
      <c r="E36" t="s">
        <v>33</v>
      </c>
      <c r="F36">
        <f>(E36-D36)</f>
        <v>47480999320</v>
      </c>
      <c r="G36" s="8">
        <f>(E36/D36)*100</f>
        <v>136.12890390728003</v>
      </c>
      <c r="H36">
        <v>37866</v>
      </c>
      <c r="I36" s="8">
        <f>(W36+Z36+AC36)</f>
        <v>37881.948207171314</v>
      </c>
      <c r="J36">
        <v>128.3585657370518</v>
      </c>
      <c r="K36" s="8">
        <v>11.94820717131474</v>
      </c>
      <c r="L36" s="21">
        <f>J36+K36</f>
        <v>140.30677290836655</v>
      </c>
      <c r="M36">
        <v>10.366533864541831</v>
      </c>
      <c r="N36" s="21">
        <v>0.82868525896414347</v>
      </c>
      <c r="O36" s="10">
        <f>(AC36+AF36)/C36</f>
        <v>10.553784860557769</v>
      </c>
      <c r="P36">
        <v>0.16733067729083659</v>
      </c>
      <c r="Q36" s="24">
        <v>1.9920318725099601E-2</v>
      </c>
      <c r="R36" s="21">
        <f>AF36/C36</f>
        <v>0.18725099601593626</v>
      </c>
      <c r="S36">
        <v>127.9123505976096</v>
      </c>
      <c r="T36" t="s">
        <v>31</v>
      </c>
      <c r="U36" s="8">
        <v>31.075697211155379</v>
      </c>
      <c r="V36" t="s">
        <v>34</v>
      </c>
      <c r="W36" s="8">
        <v>62.948207171314742</v>
      </c>
      <c r="X36">
        <v>32218</v>
      </c>
      <c r="Y36">
        <v>2999</v>
      </c>
      <c r="Z36">
        <v>35217</v>
      </c>
      <c r="AA36">
        <v>2206</v>
      </c>
      <c r="AB36">
        <v>208</v>
      </c>
      <c r="AC36">
        <v>2602</v>
      </c>
      <c r="AD36">
        <v>42</v>
      </c>
      <c r="AE36">
        <v>5</v>
      </c>
      <c r="AF36" s="9">
        <v>47</v>
      </c>
    </row>
    <row r="37" spans="1:32" x14ac:dyDescent="0.35">
      <c r="A37" s="21">
        <v>44</v>
      </c>
      <c r="B37" t="s">
        <v>24</v>
      </c>
      <c r="C37" t="s">
        <v>25</v>
      </c>
      <c r="D37" s="23" t="s">
        <v>26</v>
      </c>
      <c r="E37" t="s">
        <v>77</v>
      </c>
      <c r="F37">
        <f>(E37-D37)</f>
        <v>44202953560</v>
      </c>
      <c r="G37" s="9">
        <f>(E37/D37)*100</f>
        <v>133.6345966693778</v>
      </c>
      <c r="H37">
        <v>37866</v>
      </c>
      <c r="I37">
        <f>(W37+Z37+AC37)</f>
        <v>37877.167330677294</v>
      </c>
      <c r="J37">
        <v>128.82071713147411</v>
      </c>
      <c r="K37" s="21">
        <v>11.48605577689243</v>
      </c>
      <c r="L37" s="21">
        <f>J37+K37</f>
        <v>140.30677290836655</v>
      </c>
      <c r="M37">
        <v>10.366533864541831</v>
      </c>
      <c r="N37" s="21">
        <v>0.75697211155378485</v>
      </c>
      <c r="O37" s="10">
        <f>(AC37+AF37)/C37</f>
        <v>10.553784860557769</v>
      </c>
      <c r="P37">
        <v>0.16733067729083659</v>
      </c>
      <c r="Q37">
        <v>1.9920318725099601E-2</v>
      </c>
      <c r="R37" s="21">
        <f>AF37/C37</f>
        <v>0.18725099601593626</v>
      </c>
      <c r="S37">
        <v>128.50597609561751</v>
      </c>
      <c r="T37" t="s">
        <v>51</v>
      </c>
      <c r="U37">
        <v>34.661354581673308</v>
      </c>
      <c r="V37" t="s">
        <v>32</v>
      </c>
      <c r="W37" s="21">
        <v>58.167330677290842</v>
      </c>
      <c r="X37">
        <v>32334</v>
      </c>
      <c r="Y37">
        <v>2883</v>
      </c>
      <c r="Z37">
        <v>35217</v>
      </c>
      <c r="AA37">
        <v>2224</v>
      </c>
      <c r="AB37" s="21">
        <v>190</v>
      </c>
      <c r="AC37" s="21">
        <v>2602</v>
      </c>
      <c r="AD37">
        <v>42</v>
      </c>
      <c r="AE37">
        <v>5</v>
      </c>
      <c r="AF37" s="9">
        <v>47</v>
      </c>
    </row>
    <row r="38" spans="1:32" x14ac:dyDescent="0.35">
      <c r="A38">
        <v>45</v>
      </c>
    </row>
    <row r="39" spans="1:32" x14ac:dyDescent="0.35">
      <c r="A39">
        <v>46</v>
      </c>
    </row>
    <row r="40" spans="1:32" x14ac:dyDescent="0.35">
      <c r="A40">
        <v>47</v>
      </c>
    </row>
    <row r="41" spans="1:32" x14ac:dyDescent="0.35">
      <c r="A41">
        <v>48</v>
      </c>
    </row>
    <row r="42" spans="1:32" x14ac:dyDescent="0.35">
      <c r="A42">
        <v>49</v>
      </c>
    </row>
    <row r="43" spans="1:32" x14ac:dyDescent="0.35">
      <c r="A43">
        <v>50</v>
      </c>
    </row>
    <row r="44" spans="1:32" x14ac:dyDescent="0.35">
      <c r="A44">
        <v>51</v>
      </c>
    </row>
    <row r="45" spans="1:32" x14ac:dyDescent="0.35">
      <c r="A45">
        <v>52</v>
      </c>
    </row>
    <row r="46" spans="1:32" x14ac:dyDescent="0.35">
      <c r="A46">
        <v>53</v>
      </c>
    </row>
    <row r="47" spans="1:32" x14ac:dyDescent="0.35">
      <c r="A47">
        <v>54</v>
      </c>
    </row>
    <row r="48" spans="1:32" x14ac:dyDescent="0.35">
      <c r="A48">
        <v>55</v>
      </c>
    </row>
    <row r="49" spans="1:1" x14ac:dyDescent="0.35">
      <c r="A49">
        <v>56</v>
      </c>
    </row>
    <row r="50" spans="1:1" x14ac:dyDescent="0.35">
      <c r="A50">
        <v>57</v>
      </c>
    </row>
    <row r="51" spans="1:1" x14ac:dyDescent="0.35">
      <c r="A51">
        <v>58</v>
      </c>
    </row>
    <row r="52" spans="1:1" x14ac:dyDescent="0.35">
      <c r="A52">
        <v>59</v>
      </c>
    </row>
    <row r="53" spans="1:1" x14ac:dyDescent="0.35">
      <c r="A53">
        <v>60</v>
      </c>
    </row>
  </sheetData>
  <autoFilter ref="A2:AL2" xr:uid="{00000000-0009-0000-0000-000000000000}">
    <sortState ref="A3:AL53">
      <sortCondition ref="A2"/>
    </sortState>
  </autoFilter>
  <mergeCells count="4">
    <mergeCell ref="J1:S1"/>
    <mergeCell ref="X1:Z1"/>
    <mergeCell ref="AD1:AF1"/>
    <mergeCell ref="AA1:AC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24</v>
      </c>
      <c r="C1" t="s">
        <v>25</v>
      </c>
      <c r="D1" t="s">
        <v>26</v>
      </c>
      <c r="E1" t="s">
        <v>102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37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24</v>
      </c>
      <c r="C2" t="s">
        <v>25</v>
      </c>
      <c r="D2" t="s">
        <v>26</v>
      </c>
      <c r="E2" t="s">
        <v>102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37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2025-12-29T06:03:44Z</dcterms:modified>
</cp:coreProperties>
</file>