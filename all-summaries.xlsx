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11F6BA88-D4A6-448F-BBD7-BDD565F7B177}" xr6:coauthVersionLast="41" xr6:coauthVersionMax="41" xr10:uidLastSave="{00000000-0000-0000-0000-000000000000}"/>
  <bookViews>
    <workbookView xWindow="5100" yWindow="2370" windowWidth="29130" windowHeight="17620" xr2:uid="{00000000-000D-0000-FFFF-FFFF00000000}"/>
  </bookViews>
  <sheets>
    <sheet name="Sheet1" sheetId="1" r:id="rId1"/>
  </sheets>
  <definedNames>
    <definedName name="_xlnm._FilterDatabase" localSheetId="0" hidden="1">Sheet1!$A$2:$AF$2</definedName>
  </definedNames>
  <calcPr calcId="191029"/>
</workbook>
</file>

<file path=xl/calcChain.xml><?xml version="1.0" encoding="utf-8"?>
<calcChain xmlns="http://schemas.openxmlformats.org/spreadsheetml/2006/main">
  <c r="G6" i="1" l="1"/>
  <c r="G16" i="1"/>
  <c r="F16" i="1"/>
  <c r="G8" i="1"/>
  <c r="F8" i="1"/>
  <c r="G7" i="1"/>
  <c r="F7" i="1"/>
  <c r="G22" i="1"/>
  <c r="F22" i="1"/>
  <c r="G12" i="1"/>
  <c r="F12" i="1"/>
  <c r="G17" i="1"/>
  <c r="F17" i="1"/>
  <c r="G18" i="1"/>
  <c r="F18" i="1"/>
  <c r="G15" i="1"/>
  <c r="F15" i="1"/>
  <c r="G20" i="1"/>
  <c r="F20" i="1"/>
  <c r="G3" i="1"/>
  <c r="F3" i="1"/>
  <c r="G19" i="1"/>
  <c r="F19" i="1"/>
  <c r="G11" i="1"/>
  <c r="F11" i="1"/>
  <c r="G10" i="1"/>
  <c r="F10" i="1"/>
  <c r="G9" i="1"/>
  <c r="F9" i="1"/>
  <c r="F6" i="1"/>
  <c r="G14" i="1"/>
  <c r="F14" i="1"/>
  <c r="G13" i="1"/>
  <c r="F13" i="1"/>
  <c r="G5" i="1"/>
  <c r="F5" i="1"/>
  <c r="G21" i="1"/>
  <c r="F21" i="1"/>
  <c r="G4" i="1"/>
  <c r="F4" i="1"/>
</calcChain>
</file>

<file path=xl/sharedStrings.xml><?xml version="1.0" encoding="utf-8"?>
<sst xmlns="http://schemas.openxmlformats.org/spreadsheetml/2006/main" count="66" uniqueCount="36">
  <si>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</si>
  <si>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</si>
  <si>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</si>
  <si>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</si>
  <si>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</si>
  <si>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</si>
  <si>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</si>
  <si>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Chi</t>
  </si>
  <si>
    <t>Thu</t>
  </si>
  <si>
    <t>Lãi/Lỗ</t>
  </si>
  <si>
    <t>% thu hồi</t>
  </si>
  <si>
    <t>Tất cả vé&gt;=3</t>
  </si>
  <si>
    <t>3+</t>
  </si>
  <si>
    <t>4+</t>
  </si>
  <si>
    <t>5+</t>
  </si>
  <si>
    <t>+</t>
  </si>
  <si>
    <t>Thu 
&lt;80%</t>
  </si>
  <si>
    <t>Tỉ lệ
&lt;80%</t>
  </si>
  <si>
    <t>Tổng  3</t>
  </si>
  <si>
    <t>Tổng 4</t>
  </si>
  <si>
    <t>Tổng 5</t>
  </si>
  <si>
    <t>100-350</t>
  </si>
  <si>
    <t>78/251</t>
  </si>
  <si>
    <t>94/251</t>
  </si>
  <si>
    <t>87/251</t>
  </si>
  <si>
    <t>88/251</t>
  </si>
  <si>
    <t>63/251</t>
  </si>
  <si>
    <t>84/251</t>
  </si>
  <si>
    <t>74/251</t>
  </si>
  <si>
    <t>81/251</t>
  </si>
  <si>
    <t>98/251</t>
  </si>
  <si>
    <t>107/251</t>
  </si>
  <si>
    <t>82/251</t>
  </si>
  <si>
    <t>52/251</t>
  </si>
  <si>
    <t>130373910000</t>
  </si>
  <si>
    <t>182036153640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</si>
</sst>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2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1" applyNumberFormat="1" applyFont="1"/>
    <xf numFmtId="164" fontId="1" fillId="2" borderId="0" xfId="1" applyNumberFormat="1" applyFont="1" applyFill="1" applyAlignment="1">
      <alignment horizontal="center" vertical="center"/>
    </xf>
    <xf numFmtId="0" fontId="0" fillId="0" borderId="0" xfId="0"/>
    <xf numFmtId="0" fontId="0" fillId="3" borderId="0" xfId="0" applyFill="1"/>
    <xf numFmtId="2" fontId="1" fillId="3" borderId="0" xfId="0" applyNumberFormat="1" applyFont="1" applyFill="1" applyAlignment="1">
      <alignment horizontal="center" vertical="center"/>
    </xf>
    <xf numFmtId="2" fontId="0" fillId="0" borderId="0" xfId="0" applyNumberFormat="1"/>
    <xf numFmtId="0" fontId="0" fillId="9" borderId="0" xfId="0" applyFill="1"/>
    <xf numFmtId="0" fontId="0" fillId="10" borderId="0" xfId="0" applyFill="1"/>
    <xf numFmtId="0" fontId="0" fillId="11" borderId="0" xfId="0" applyFont="1" applyFill="1"/>
    <xf numFmtId="0" fontId="0" fillId="0" borderId="0" xfId="0"/>
    <xf numFmtId="0" fontId="0" fillId="11" borderId="0" xfId="0" applyFill="1"/>
    <xf numFmtId="0" fontId="0" fillId="0" borderId="0" xfId="0"/>
    <xf numFmtId="0" fontId="1" fillId="5" borderId="0" xfId="0" applyFont="1" applyFill="1" applyAlignment="1">
      <alignment horizontal="center"/>
    </xf>
    <xf numFmtId="0" fontId="0" fillId="0" borderId="0" xfId="0"/>
    <xf numFmtId="0" fontId="1" fillId="4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12" borderId="0" xfId="0" applyFill="1"/>
    <xf numFmtId="164" fontId="0" fillId="0" borderId="0" xfId="1" quotePrefix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44"/>
  <sheetViews>
    <sheetView tabSelected="1" workbookViewId="0">
      <selection activeCell="G24" sqref="G24"/>
    </sheetView>
  </sheetViews>
  <sheetFormatPr defaultRowHeight="14.5" x14ac:dyDescent="0.35"/>
  <cols>
    <col min="2" max="2" width="9" style="6" customWidth="1"/>
    <col min="3" max="3" width="4.26953125" style="6" customWidth="1"/>
    <col min="4" max="4" width="13.81640625" style="8" customWidth="1"/>
    <col min="5" max="5" width="9.54296875" style="8" customWidth="1"/>
    <col min="6" max="6" width="17.90625" style="6" customWidth="1"/>
    <col min="7" max="7" width="13.08984375" style="6" customWidth="1"/>
    <col min="8" max="8" width="14.1796875" style="6" customWidth="1"/>
    <col min="9" max="9" width="8.36328125" style="6" customWidth="1"/>
    <col min="10" max="15" width="6.453125" style="6" customWidth="1"/>
    <col min="16" max="16" width="9" style="6" customWidth="1"/>
    <col min="17" max="17" width="9.08984375" style="6" customWidth="1"/>
    <col min="18" max="22" width="9.26953125" style="6" customWidth="1"/>
    <col min="23" max="23" width="9.26953125" style="13" customWidth="1"/>
    <col min="24" max="26" width="9.26953125" style="6" customWidth="1"/>
    <col min="27" max="27" width="6.6328125" style="6" customWidth="1"/>
    <col min="28" max="28" width="7.7265625" style="6" customWidth="1"/>
    <col min="29" max="32" width="6.6328125" style="6" customWidth="1"/>
  </cols>
  <sheetData>
    <row r="1" spans="1:26" x14ac:dyDescent="0.35">
      <c r="I1" s="23" t="s">
        <v>0</v>
      </c>
      <c r="J1" s="21"/>
      <c r="K1" s="21"/>
      <c r="L1" s="21"/>
      <c r="M1" s="21"/>
      <c r="N1" s="21"/>
      <c r="O1" s="21"/>
      <c r="R1" s="24" t="s">
        <v>1</v>
      </c>
      <c r="S1" s="21"/>
      <c r="T1" s="21"/>
      <c r="U1" s="20" t="s">
        <v>2</v>
      </c>
      <c r="V1" s="21"/>
      <c r="W1" s="21"/>
      <c r="X1" s="22" t="s">
        <v>3</v>
      </c>
      <c r="Y1" s="21"/>
      <c r="Z1" s="21"/>
    </row>
    <row r="2" spans="1:26" s="2" customFormat="1" ht="53.5" customHeight="1" x14ac:dyDescent="0.35">
      <c r="A2" s="7" t="s">
        <v>4</v>
      </c>
      <c r="B2" s="1" t="s">
        <v>5</v>
      </c>
      <c r="C2" s="1" t="s">
        <v>6</v>
      </c>
      <c r="D2" s="9" t="s">
        <v>7</v>
      </c>
      <c r="E2" s="9" t="s">
        <v>8</v>
      </c>
      <c r="F2" s="1" t="s">
        <v>9</v>
      </c>
      <c r="G2" s="1" t="s">
        <v>10</v>
      </c>
      <c r="H2" s="1" t="s">
        <v>11</v>
      </c>
      <c r="I2" s="4">
        <v>3</v>
      </c>
      <c r="J2" s="4" t="s">
        <v>12</v>
      </c>
      <c r="K2" s="4">
        <v>4</v>
      </c>
      <c r="L2" s="4" t="s">
        <v>13</v>
      </c>
      <c r="M2" s="4">
        <v>5</v>
      </c>
      <c r="N2" s="4" t="s">
        <v>14</v>
      </c>
      <c r="O2" s="4" t="s">
        <v>15</v>
      </c>
      <c r="P2" s="5" t="s">
        <v>16</v>
      </c>
      <c r="Q2" s="5" t="s">
        <v>17</v>
      </c>
      <c r="R2" s="3">
        <v>3</v>
      </c>
      <c r="S2" s="3" t="s">
        <v>12</v>
      </c>
      <c r="T2" s="3" t="s">
        <v>18</v>
      </c>
      <c r="U2" s="3">
        <v>4</v>
      </c>
      <c r="V2" s="3" t="s">
        <v>13</v>
      </c>
      <c r="W2" s="12" t="s">
        <v>19</v>
      </c>
      <c r="X2" s="3">
        <v>5</v>
      </c>
      <c r="Y2" s="3" t="s">
        <v>14</v>
      </c>
      <c r="Z2" s="3" t="s">
        <v>20</v>
      </c>
    </row>
    <row r="3" spans="1:26" x14ac:dyDescent="0.35">
      <c r="A3">
        <v>20</v>
      </c>
      <c r="B3" t="s">
        <v>21</v>
      </c>
      <c r="C3">
        <v>251</v>
      </c>
      <c r="D3" s="19">
        <v>131421090000</v>
      </c>
      <c r="E3" s="19">
        <v>175963427720</v>
      </c>
      <c r="F3">
        <f>(E3-D3)</f>
        <v>44542337720</v>
      </c>
      <c r="G3" s="14">
        <f>(E3/D3)*100</f>
        <v>133.8928384477712</v>
      </c>
      <c r="H3" s="10">
        <v>37693</v>
      </c>
      <c r="I3">
        <v>128.53784860557769</v>
      </c>
      <c r="J3">
        <v>11.89243027888446</v>
      </c>
      <c r="K3">
        <v>8.7490039840637444</v>
      </c>
      <c r="L3">
        <v>0.78884462151394419</v>
      </c>
      <c r="M3">
        <v>0.19920318725099601</v>
      </c>
      <c r="N3">
        <v>3.9840637450199202E-3</v>
      </c>
      <c r="O3">
        <v>128.0637450199203</v>
      </c>
      <c r="P3" t="s">
        <v>27</v>
      </c>
      <c r="Q3" s="17">
        <v>33.466135458167329</v>
      </c>
      <c r="R3">
        <v>32263</v>
      </c>
      <c r="S3">
        <v>2985</v>
      </c>
      <c r="T3" s="15">
        <v>35248</v>
      </c>
      <c r="U3">
        <v>2196</v>
      </c>
      <c r="V3">
        <v>198</v>
      </c>
      <c r="W3" s="6">
        <v>2394</v>
      </c>
      <c r="X3">
        <v>50</v>
      </c>
      <c r="Y3">
        <v>1</v>
      </c>
      <c r="Z3" s="16">
        <v>51</v>
      </c>
    </row>
    <row r="4" spans="1:26" x14ac:dyDescent="0.35">
      <c r="A4">
        <v>10</v>
      </c>
      <c r="B4" t="s">
        <v>21</v>
      </c>
      <c r="C4">
        <v>251</v>
      </c>
      <c r="D4" s="26" t="s">
        <v>34</v>
      </c>
      <c r="E4" s="26" t="s">
        <v>35</v>
      </c>
      <c r="F4">
        <f>(E4-D4)</f>
        <v>51662243640</v>
      </c>
      <c r="G4" s="14">
        <f>(E4/D4)*100</f>
        <v>139.62621328147634</v>
      </c>
      <c r="H4" s="10">
        <v>37417</v>
      </c>
      <c r="I4">
        <v>127.78486055776889</v>
      </c>
      <c r="J4">
        <v>11.64541832669323</v>
      </c>
      <c r="K4">
        <v>8.6374501992031867</v>
      </c>
      <c r="L4">
        <v>0.80478087649402386</v>
      </c>
      <c r="M4">
        <v>0.1752988047808765</v>
      </c>
      <c r="N4">
        <v>2.3904382470119521E-2</v>
      </c>
      <c r="O4">
        <v>127.1513944223108</v>
      </c>
      <c r="P4" t="s">
        <v>22</v>
      </c>
      <c r="Q4">
        <v>31.075697211155379</v>
      </c>
      <c r="R4">
        <v>32074</v>
      </c>
      <c r="S4">
        <v>2923</v>
      </c>
      <c r="T4" s="10">
        <v>34997</v>
      </c>
      <c r="U4">
        <v>2168</v>
      </c>
      <c r="V4">
        <v>202</v>
      </c>
      <c r="W4" s="19">
        <v>2370</v>
      </c>
      <c r="X4">
        <v>44</v>
      </c>
      <c r="Y4">
        <v>6</v>
      </c>
      <c r="Z4" s="14">
        <v>50</v>
      </c>
    </row>
    <row r="5" spans="1:26" x14ac:dyDescent="0.35">
      <c r="A5">
        <v>12</v>
      </c>
      <c r="B5" t="s">
        <v>21</v>
      </c>
      <c r="C5">
        <v>251</v>
      </c>
      <c r="D5">
        <v>131421090000</v>
      </c>
      <c r="E5">
        <v>171216874920</v>
      </c>
      <c r="F5">
        <f>(E5-D5)</f>
        <v>39795784920</v>
      </c>
      <c r="G5" s="17">
        <f>(E5/D5)*100</f>
        <v>130.28112528970809</v>
      </c>
      <c r="H5" s="18">
        <v>37718</v>
      </c>
      <c r="I5">
        <v>128.71713147410361</v>
      </c>
      <c r="J5">
        <v>11.812749003984059</v>
      </c>
      <c r="K5">
        <v>8.7569721115537842</v>
      </c>
      <c r="L5">
        <v>0.79681274900398402</v>
      </c>
      <c r="M5">
        <v>0.18326693227091631</v>
      </c>
      <c r="N5">
        <v>3.9840637450199202E-3</v>
      </c>
      <c r="O5">
        <v>128.13545816733071</v>
      </c>
      <c r="P5" t="s">
        <v>24</v>
      </c>
      <c r="Q5">
        <v>34.661354581673308</v>
      </c>
      <c r="R5">
        <v>32308</v>
      </c>
      <c r="S5">
        <v>2965</v>
      </c>
      <c r="T5" s="16">
        <v>35273</v>
      </c>
      <c r="U5">
        <v>2198</v>
      </c>
      <c r="V5">
        <v>200</v>
      </c>
      <c r="W5" s="6">
        <v>2398</v>
      </c>
      <c r="X5" s="6">
        <v>46</v>
      </c>
      <c r="Y5">
        <v>1</v>
      </c>
      <c r="Z5" s="17">
        <v>47</v>
      </c>
    </row>
    <row r="6" spans="1:26" x14ac:dyDescent="0.35">
      <c r="A6">
        <v>15</v>
      </c>
      <c r="B6" t="s">
        <v>21</v>
      </c>
      <c r="C6">
        <v>251</v>
      </c>
      <c r="D6" s="6">
        <v>131421090000</v>
      </c>
      <c r="E6" s="6">
        <v>186740852920</v>
      </c>
      <c r="F6">
        <f>(E6-D6)</f>
        <v>55319762920</v>
      </c>
      <c r="G6" s="18">
        <f>(E6/D6)*100</f>
        <v>142.09352008874677</v>
      </c>
      <c r="H6" s="19">
        <v>37678</v>
      </c>
      <c r="I6">
        <v>128.69721115537851</v>
      </c>
      <c r="J6">
        <v>11.60956175298805</v>
      </c>
      <c r="K6">
        <v>8.6892430278884465</v>
      </c>
      <c r="L6">
        <v>0.92828685258964139</v>
      </c>
      <c r="M6">
        <v>0.15537848605577689</v>
      </c>
      <c r="N6">
        <v>3.1872509960159362E-2</v>
      </c>
      <c r="O6">
        <v>128.17928286852589</v>
      </c>
      <c r="P6" t="s">
        <v>26</v>
      </c>
      <c r="Q6" s="11">
        <v>25.099601593625501</v>
      </c>
      <c r="R6">
        <v>32303</v>
      </c>
      <c r="S6">
        <v>2914</v>
      </c>
      <c r="T6" s="19">
        <v>35217</v>
      </c>
      <c r="U6">
        <v>2181</v>
      </c>
      <c r="V6">
        <v>233</v>
      </c>
      <c r="W6" s="6">
        <v>2414</v>
      </c>
      <c r="X6">
        <v>39</v>
      </c>
      <c r="Y6">
        <v>8</v>
      </c>
      <c r="Z6" s="10">
        <v>47</v>
      </c>
    </row>
    <row r="7" spans="1:26" x14ac:dyDescent="0.35">
      <c r="A7">
        <v>27</v>
      </c>
      <c r="B7" t="s">
        <v>21</v>
      </c>
      <c r="C7">
        <v>251</v>
      </c>
      <c r="D7">
        <v>131421090000</v>
      </c>
      <c r="E7">
        <v>170433084440</v>
      </c>
      <c r="F7">
        <f>(E7-D7)</f>
        <v>39011994440</v>
      </c>
      <c r="G7">
        <f>(E7/D7)*100</f>
        <v>129.68472901875947</v>
      </c>
      <c r="H7">
        <v>37685</v>
      </c>
      <c r="I7">
        <v>128.85258964143429</v>
      </c>
      <c r="J7">
        <v>11.466135458167329</v>
      </c>
      <c r="K7">
        <v>8.8525896414342622</v>
      </c>
      <c r="L7">
        <v>0.78087649402390436</v>
      </c>
      <c r="M7">
        <v>0.18326693227091631</v>
      </c>
      <c r="N7">
        <v>3.9840637450199202E-3</v>
      </c>
      <c r="O7">
        <v>128.4980079681275</v>
      </c>
      <c r="P7" t="s">
        <v>27</v>
      </c>
      <c r="Q7">
        <v>33.466135458167329</v>
      </c>
      <c r="R7">
        <v>32342</v>
      </c>
      <c r="S7">
        <v>2878</v>
      </c>
      <c r="T7" s="6">
        <v>35220</v>
      </c>
      <c r="U7">
        <v>2222</v>
      </c>
      <c r="V7">
        <v>196</v>
      </c>
      <c r="W7" s="6">
        <v>2418</v>
      </c>
      <c r="X7">
        <v>46</v>
      </c>
      <c r="Y7">
        <v>1</v>
      </c>
      <c r="Z7" s="25">
        <v>47</v>
      </c>
    </row>
    <row r="8" spans="1:26" x14ac:dyDescent="0.35">
      <c r="A8">
        <v>28</v>
      </c>
      <c r="B8" t="s">
        <v>21</v>
      </c>
      <c r="C8">
        <v>251</v>
      </c>
      <c r="D8">
        <v>131421090000</v>
      </c>
      <c r="E8">
        <v>167688031760</v>
      </c>
      <c r="F8">
        <f>(E8-D8)</f>
        <v>36266941760</v>
      </c>
      <c r="G8" s="19">
        <f>(E8/D8)*100</f>
        <v>127.59598308003686</v>
      </c>
      <c r="H8" s="14">
        <v>37694</v>
      </c>
      <c r="I8">
        <v>128.796812749004</v>
      </c>
      <c r="J8">
        <v>11.55776892430279</v>
      </c>
      <c r="K8">
        <v>8.9123505976095618</v>
      </c>
      <c r="L8">
        <v>0.72908366533864544</v>
      </c>
      <c r="M8">
        <v>0.17131474103585659</v>
      </c>
      <c r="N8">
        <v>7.9681274900398405E-3</v>
      </c>
      <c r="O8">
        <v>128.45418326693229</v>
      </c>
      <c r="P8" t="s">
        <v>24</v>
      </c>
      <c r="Q8" s="19">
        <v>34.661354581673308</v>
      </c>
      <c r="R8">
        <v>32328</v>
      </c>
      <c r="S8">
        <v>2901</v>
      </c>
      <c r="T8" s="17">
        <v>35229</v>
      </c>
      <c r="U8">
        <v>2237</v>
      </c>
      <c r="V8">
        <v>183</v>
      </c>
      <c r="W8" s="6">
        <v>2420</v>
      </c>
      <c r="X8">
        <v>43</v>
      </c>
      <c r="Y8">
        <v>2</v>
      </c>
      <c r="Z8">
        <v>45</v>
      </c>
    </row>
    <row r="9" spans="1:26" x14ac:dyDescent="0.35">
      <c r="A9">
        <v>16</v>
      </c>
      <c r="B9" t="s">
        <v>21</v>
      </c>
      <c r="C9">
        <v>251</v>
      </c>
      <c r="D9">
        <v>131421090000</v>
      </c>
      <c r="E9">
        <v>174643537020</v>
      </c>
      <c r="F9">
        <f>(E9-D9)</f>
        <v>43222447020</v>
      </c>
      <c r="G9">
        <f>(E9/D9)*100</f>
        <v>132.88851661479904</v>
      </c>
      <c r="H9">
        <v>37689</v>
      </c>
      <c r="I9">
        <v>128.4581673306773</v>
      </c>
      <c r="J9">
        <v>11.908366533864539</v>
      </c>
      <c r="K9">
        <v>8.7968127490039834</v>
      </c>
      <c r="L9">
        <v>0.81673306772908372</v>
      </c>
      <c r="M9">
        <v>0.15537848605577689</v>
      </c>
      <c r="N9">
        <v>1.9920318725099601E-2</v>
      </c>
      <c r="O9">
        <v>128.00398406374501</v>
      </c>
      <c r="P9" t="s">
        <v>27</v>
      </c>
      <c r="Q9" s="6">
        <v>33.466135458167329</v>
      </c>
      <c r="R9">
        <v>32243</v>
      </c>
      <c r="S9">
        <v>2989</v>
      </c>
      <c r="T9">
        <v>35232</v>
      </c>
      <c r="U9">
        <v>2208</v>
      </c>
      <c r="V9">
        <v>205</v>
      </c>
      <c r="W9" s="6">
        <v>2413</v>
      </c>
      <c r="X9">
        <v>39</v>
      </c>
      <c r="Y9">
        <v>5</v>
      </c>
      <c r="Z9">
        <v>44</v>
      </c>
    </row>
    <row r="10" spans="1:26" x14ac:dyDescent="0.35">
      <c r="A10">
        <v>17</v>
      </c>
      <c r="B10" t="s">
        <v>21</v>
      </c>
      <c r="C10">
        <v>251</v>
      </c>
      <c r="D10">
        <v>131421090000</v>
      </c>
      <c r="E10">
        <v>171029502840</v>
      </c>
      <c r="F10">
        <f>(E10-D10)</f>
        <v>39608412840</v>
      </c>
      <c r="G10">
        <f>(E10/D10)*100</f>
        <v>130.13855146080436</v>
      </c>
      <c r="H10">
        <v>37682</v>
      </c>
      <c r="I10">
        <v>128.6414342629482</v>
      </c>
      <c r="J10">
        <v>11.66135458167331</v>
      </c>
      <c r="K10">
        <v>8.8247011952191237</v>
      </c>
      <c r="L10">
        <v>0.83266932270916338</v>
      </c>
      <c r="M10">
        <v>0.151394422310757</v>
      </c>
      <c r="N10">
        <v>1.5936254980079681E-2</v>
      </c>
      <c r="O10">
        <v>128.23904382470121</v>
      </c>
      <c r="P10" t="s">
        <v>28</v>
      </c>
      <c r="Q10" s="6">
        <v>29.482071713147409</v>
      </c>
      <c r="R10">
        <v>32289</v>
      </c>
      <c r="S10">
        <v>2927</v>
      </c>
      <c r="T10">
        <v>35216</v>
      </c>
      <c r="U10">
        <v>2215</v>
      </c>
      <c r="V10">
        <v>209</v>
      </c>
      <c r="W10" s="6">
        <v>2424</v>
      </c>
      <c r="X10">
        <v>38</v>
      </c>
      <c r="Y10">
        <v>4</v>
      </c>
      <c r="Z10">
        <v>42</v>
      </c>
    </row>
    <row r="11" spans="1:26" x14ac:dyDescent="0.35">
      <c r="A11">
        <v>18</v>
      </c>
      <c r="B11" t="s">
        <v>21</v>
      </c>
      <c r="C11">
        <v>251</v>
      </c>
      <c r="D11">
        <v>131421090000</v>
      </c>
      <c r="E11">
        <v>170803812640</v>
      </c>
      <c r="F11">
        <f>(E11-D11)</f>
        <v>39382722640</v>
      </c>
      <c r="G11">
        <f>(E11/D11)*100</f>
        <v>129.96682088087991</v>
      </c>
      <c r="H11">
        <v>37669</v>
      </c>
      <c r="I11">
        <v>128.8167330677291</v>
      </c>
      <c r="J11">
        <v>11.37450199203187</v>
      </c>
      <c r="K11">
        <v>8.856573705179283</v>
      </c>
      <c r="L11">
        <v>0.86454183266932272</v>
      </c>
      <c r="M11">
        <v>0.14741035856573709</v>
      </c>
      <c r="N11">
        <v>1.5936254980079681E-2</v>
      </c>
      <c r="O11">
        <v>128.49402390438249</v>
      </c>
      <c r="P11" t="s">
        <v>29</v>
      </c>
      <c r="Q11">
        <v>32.270916334661351</v>
      </c>
      <c r="R11">
        <v>32333</v>
      </c>
      <c r="S11">
        <v>2855</v>
      </c>
      <c r="T11">
        <v>35188</v>
      </c>
      <c r="U11">
        <v>2223</v>
      </c>
      <c r="V11">
        <v>217</v>
      </c>
      <c r="W11" s="6">
        <v>2440</v>
      </c>
      <c r="X11">
        <v>37</v>
      </c>
      <c r="Y11">
        <v>4</v>
      </c>
      <c r="Z11">
        <v>41</v>
      </c>
    </row>
    <row r="12" spans="1:26" x14ac:dyDescent="0.35">
      <c r="A12">
        <v>25</v>
      </c>
      <c r="B12" t="s">
        <v>21</v>
      </c>
      <c r="C12">
        <v>251</v>
      </c>
      <c r="D12">
        <v>131421090000</v>
      </c>
      <c r="E12">
        <v>166054694380</v>
      </c>
      <c r="F12">
        <f>(E12-D12)</f>
        <v>34633604380</v>
      </c>
      <c r="G12">
        <f>(E12/D12)*100</f>
        <v>126.3531556312613</v>
      </c>
      <c r="H12" s="17">
        <v>37687</v>
      </c>
      <c r="I12">
        <v>128.83266932270919</v>
      </c>
      <c r="J12">
        <v>11.474103585657369</v>
      </c>
      <c r="K12">
        <v>8.8167330677290838</v>
      </c>
      <c r="L12">
        <v>0.8605577689243028</v>
      </c>
      <c r="M12">
        <v>0.15936254980079681</v>
      </c>
      <c r="N12">
        <v>3.9840637450199202E-3</v>
      </c>
      <c r="O12">
        <v>128.41035856573711</v>
      </c>
      <c r="P12" t="s">
        <v>22</v>
      </c>
      <c r="Q12">
        <v>31.075697211155379</v>
      </c>
      <c r="R12">
        <v>32337</v>
      </c>
      <c r="S12">
        <v>2880</v>
      </c>
      <c r="T12" s="17">
        <v>35217</v>
      </c>
      <c r="U12">
        <v>2213</v>
      </c>
      <c r="V12">
        <v>216</v>
      </c>
      <c r="W12" s="19">
        <v>2429</v>
      </c>
      <c r="X12">
        <v>40</v>
      </c>
      <c r="Y12">
        <v>1</v>
      </c>
      <c r="Z12">
        <v>41</v>
      </c>
    </row>
    <row r="13" spans="1:26" x14ac:dyDescent="0.35">
      <c r="A13">
        <v>13</v>
      </c>
      <c r="B13" t="s">
        <v>21</v>
      </c>
      <c r="C13">
        <v>251</v>
      </c>
      <c r="D13">
        <v>131421090000</v>
      </c>
      <c r="E13">
        <v>168885007860</v>
      </c>
      <c r="F13">
        <f>(E13-D13)</f>
        <v>37463917860</v>
      </c>
      <c r="G13" s="19">
        <f>(E13/D13)*100</f>
        <v>128.50677761080814</v>
      </c>
      <c r="H13" s="14">
        <v>37715</v>
      </c>
      <c r="I13">
        <v>128.601593625498</v>
      </c>
      <c r="J13">
        <v>11.8605577689243</v>
      </c>
      <c r="K13">
        <v>8.8007968127490042</v>
      </c>
      <c r="L13">
        <v>0.8366533864541833</v>
      </c>
      <c r="M13">
        <v>0.14342629482071709</v>
      </c>
      <c r="N13">
        <v>1.5936254980079681E-2</v>
      </c>
      <c r="O13">
        <v>128.03585657370519</v>
      </c>
      <c r="P13" t="s">
        <v>25</v>
      </c>
      <c r="Q13" s="10">
        <v>35.059760956175303</v>
      </c>
      <c r="R13">
        <v>32279</v>
      </c>
      <c r="S13">
        <v>2977</v>
      </c>
      <c r="T13" s="14">
        <v>35256</v>
      </c>
      <c r="U13">
        <v>2209</v>
      </c>
      <c r="V13">
        <v>210</v>
      </c>
      <c r="W13" s="6">
        <v>2419</v>
      </c>
      <c r="X13">
        <v>36</v>
      </c>
      <c r="Y13">
        <v>4</v>
      </c>
      <c r="Z13" s="19">
        <v>40</v>
      </c>
    </row>
    <row r="14" spans="1:26" x14ac:dyDescent="0.35">
      <c r="A14">
        <v>14</v>
      </c>
      <c r="B14" t="s">
        <v>21</v>
      </c>
      <c r="C14">
        <v>251</v>
      </c>
      <c r="D14">
        <v>131421090000</v>
      </c>
      <c r="E14">
        <v>166937578280</v>
      </c>
      <c r="F14">
        <f>(E14-D14)</f>
        <v>35516488280</v>
      </c>
      <c r="G14">
        <f>(E14/D14)*100</f>
        <v>127.02495336174735</v>
      </c>
      <c r="H14">
        <v>37675</v>
      </c>
      <c r="I14">
        <v>128.23904382470121</v>
      </c>
      <c r="J14">
        <v>12.011952191235061</v>
      </c>
      <c r="K14">
        <v>8.8326693227091635</v>
      </c>
      <c r="L14">
        <v>0.85657370517928288</v>
      </c>
      <c r="M14">
        <v>0.151394422310757</v>
      </c>
      <c r="N14">
        <v>7.9681274900398405E-3</v>
      </c>
      <c r="O14">
        <v>127.87250996015941</v>
      </c>
      <c r="P14" t="s">
        <v>24</v>
      </c>
      <c r="Q14">
        <v>34.661354581673308</v>
      </c>
      <c r="R14">
        <v>32188</v>
      </c>
      <c r="S14">
        <v>3015</v>
      </c>
      <c r="T14" s="6">
        <v>35203</v>
      </c>
      <c r="U14">
        <v>2217</v>
      </c>
      <c r="V14">
        <v>215</v>
      </c>
      <c r="W14" s="6">
        <v>2432</v>
      </c>
      <c r="X14">
        <v>38</v>
      </c>
      <c r="Y14">
        <v>2</v>
      </c>
      <c r="Z14">
        <v>40</v>
      </c>
    </row>
    <row r="15" spans="1:26" x14ac:dyDescent="0.35">
      <c r="A15">
        <v>22</v>
      </c>
      <c r="B15" t="s">
        <v>21</v>
      </c>
      <c r="C15">
        <v>251</v>
      </c>
      <c r="D15">
        <v>131421090000</v>
      </c>
      <c r="E15">
        <v>161643553900</v>
      </c>
      <c r="F15">
        <f>(E15-D15)</f>
        <v>30222463900</v>
      </c>
      <c r="G15">
        <f>(E15/D15)*100</f>
        <v>122.99666202738084</v>
      </c>
      <c r="H15">
        <v>37638</v>
      </c>
      <c r="I15">
        <v>128.15139442231069</v>
      </c>
      <c r="J15">
        <v>11.84860557768924</v>
      </c>
      <c r="K15">
        <v>9.0119521912350606</v>
      </c>
      <c r="L15">
        <v>0.78486055776892427</v>
      </c>
      <c r="M15">
        <v>0.151394422310757</v>
      </c>
      <c r="N15">
        <v>3.9840637450199202E-3</v>
      </c>
      <c r="O15">
        <v>128.11155378486049</v>
      </c>
      <c r="P15" t="s">
        <v>24</v>
      </c>
      <c r="Q15">
        <v>34.661354581673308</v>
      </c>
      <c r="R15">
        <v>32166</v>
      </c>
      <c r="S15">
        <v>2974</v>
      </c>
      <c r="T15" s="6">
        <v>35140</v>
      </c>
      <c r="U15">
        <v>2262</v>
      </c>
      <c r="V15">
        <v>197</v>
      </c>
      <c r="W15" s="15">
        <v>2459</v>
      </c>
      <c r="X15">
        <v>38</v>
      </c>
      <c r="Y15">
        <v>1</v>
      </c>
      <c r="Z15">
        <v>39</v>
      </c>
    </row>
    <row r="16" spans="1:26" x14ac:dyDescent="0.35">
      <c r="A16">
        <v>29</v>
      </c>
      <c r="B16" t="s">
        <v>21</v>
      </c>
      <c r="C16">
        <v>251</v>
      </c>
      <c r="D16">
        <v>130897500000</v>
      </c>
      <c r="E16">
        <v>166479362960</v>
      </c>
      <c r="F16">
        <f>(E16-D16)</f>
        <v>35581862960</v>
      </c>
      <c r="G16">
        <f>(E16/D16)*100</f>
        <v>127.18299658893409</v>
      </c>
      <c r="H16">
        <v>37520</v>
      </c>
      <c r="I16">
        <v>128.19920318725099</v>
      </c>
      <c r="J16">
        <v>11.39043824701195</v>
      </c>
      <c r="K16">
        <v>8.9203187250996017</v>
      </c>
      <c r="L16">
        <v>0.81673306772908372</v>
      </c>
      <c r="M16">
        <v>0.1394422310756972</v>
      </c>
      <c r="N16">
        <v>1.5936254980079681E-2</v>
      </c>
      <c r="O16">
        <v>127.9641434262948</v>
      </c>
      <c r="P16" t="s">
        <v>27</v>
      </c>
      <c r="Q16">
        <v>33.466135458167329</v>
      </c>
      <c r="R16">
        <v>32178</v>
      </c>
      <c r="S16">
        <v>2859</v>
      </c>
      <c r="T16">
        <v>35037</v>
      </c>
      <c r="U16">
        <v>2239</v>
      </c>
      <c r="V16">
        <v>205</v>
      </c>
      <c r="W16" s="6">
        <v>2444</v>
      </c>
      <c r="X16">
        <v>35</v>
      </c>
      <c r="Y16">
        <v>4</v>
      </c>
      <c r="Z16">
        <v>39</v>
      </c>
    </row>
    <row r="17" spans="1:26" x14ac:dyDescent="0.35">
      <c r="A17">
        <v>24</v>
      </c>
      <c r="B17" t="s">
        <v>21</v>
      </c>
      <c r="C17">
        <v>251</v>
      </c>
      <c r="D17">
        <v>131421090000</v>
      </c>
      <c r="E17">
        <v>157811392240</v>
      </c>
      <c r="F17">
        <f>(E17-D17)</f>
        <v>26390302240</v>
      </c>
      <c r="G17">
        <f>(E17/D17)*100</f>
        <v>120.08072086451268</v>
      </c>
      <c r="H17">
        <v>37664</v>
      </c>
      <c r="I17">
        <v>128.36254980079681</v>
      </c>
      <c r="J17">
        <v>11.7808764940239</v>
      </c>
      <c r="K17">
        <v>8.9402390438247004</v>
      </c>
      <c r="L17">
        <v>0.82868525896414347</v>
      </c>
      <c r="M17">
        <v>0.14342629482071709</v>
      </c>
      <c r="N17">
        <v>0</v>
      </c>
      <c r="O17">
        <v>128.13944223107569</v>
      </c>
      <c r="P17" t="s">
        <v>22</v>
      </c>
      <c r="Q17" s="6">
        <v>31.075697211155379</v>
      </c>
      <c r="R17">
        <v>32219</v>
      </c>
      <c r="S17">
        <v>2957</v>
      </c>
      <c r="T17">
        <v>35176</v>
      </c>
      <c r="U17">
        <v>2244</v>
      </c>
      <c r="V17">
        <v>208</v>
      </c>
      <c r="W17" s="17">
        <v>2452</v>
      </c>
      <c r="X17">
        <v>36</v>
      </c>
      <c r="Y17">
        <v>0</v>
      </c>
      <c r="Z17">
        <v>36</v>
      </c>
    </row>
    <row r="18" spans="1:26" x14ac:dyDescent="0.35">
      <c r="A18">
        <v>23</v>
      </c>
      <c r="B18" t="s">
        <v>21</v>
      </c>
      <c r="C18">
        <v>251</v>
      </c>
      <c r="D18">
        <v>131421090000</v>
      </c>
      <c r="E18">
        <v>161107982100</v>
      </c>
      <c r="F18">
        <f>(E18-D18)</f>
        <v>29686892100</v>
      </c>
      <c r="G18">
        <f>(E18/D18)*100</f>
        <v>122.58913854694097</v>
      </c>
      <c r="H18">
        <v>37673</v>
      </c>
      <c r="I18">
        <v>128.42629482071709</v>
      </c>
      <c r="J18">
        <v>11.7609561752988</v>
      </c>
      <c r="K18">
        <v>8.9362549800796813</v>
      </c>
      <c r="L18">
        <v>0.82868525896414347</v>
      </c>
      <c r="M18">
        <v>0.12749003984063739</v>
      </c>
      <c r="N18">
        <v>1.1952191235059761E-2</v>
      </c>
      <c r="O18">
        <v>128.14741035856571</v>
      </c>
      <c r="P18" t="s">
        <v>32</v>
      </c>
      <c r="Q18">
        <v>32.669322709163353</v>
      </c>
      <c r="R18">
        <v>32235</v>
      </c>
      <c r="S18">
        <v>2952</v>
      </c>
      <c r="T18">
        <v>35187</v>
      </c>
      <c r="U18">
        <v>2243</v>
      </c>
      <c r="V18">
        <v>208</v>
      </c>
      <c r="W18" s="10">
        <v>2451</v>
      </c>
      <c r="X18">
        <v>32</v>
      </c>
      <c r="Y18">
        <v>3</v>
      </c>
      <c r="Z18">
        <v>35</v>
      </c>
    </row>
    <row r="19" spans="1:26" x14ac:dyDescent="0.35">
      <c r="A19">
        <v>19</v>
      </c>
      <c r="B19" t="s">
        <v>21</v>
      </c>
      <c r="C19">
        <v>251</v>
      </c>
      <c r="D19">
        <v>131421090000</v>
      </c>
      <c r="E19">
        <v>153958977980</v>
      </c>
      <c r="F19">
        <f>(E19-D19)</f>
        <v>22537887980</v>
      </c>
      <c r="G19">
        <f>(E19/D19)*100</f>
        <v>117.14936923746409</v>
      </c>
      <c r="H19">
        <v>37679</v>
      </c>
      <c r="I19">
        <v>128.53386454183271</v>
      </c>
      <c r="J19">
        <v>11.64541832669323</v>
      </c>
      <c r="K19">
        <v>9.0597609561752996</v>
      </c>
      <c r="L19">
        <v>0.7450199203187251</v>
      </c>
      <c r="M19">
        <v>0.1235059760956175</v>
      </c>
      <c r="N19">
        <v>7.9681274900398405E-3</v>
      </c>
      <c r="O19">
        <v>128.35059760956179</v>
      </c>
      <c r="P19" t="s">
        <v>30</v>
      </c>
      <c r="Q19" s="19">
        <v>39.04382470119522</v>
      </c>
      <c r="R19">
        <v>32262</v>
      </c>
      <c r="S19">
        <v>2923</v>
      </c>
      <c r="T19" s="6">
        <v>35185</v>
      </c>
      <c r="U19">
        <v>2274</v>
      </c>
      <c r="V19">
        <v>187</v>
      </c>
      <c r="W19" s="14">
        <v>2461</v>
      </c>
      <c r="X19">
        <v>31</v>
      </c>
      <c r="Y19">
        <v>2</v>
      </c>
      <c r="Z19">
        <v>33</v>
      </c>
    </row>
    <row r="20" spans="1:26" x14ac:dyDescent="0.35">
      <c r="A20">
        <v>21</v>
      </c>
      <c r="B20" t="s">
        <v>21</v>
      </c>
      <c r="C20">
        <v>251</v>
      </c>
      <c r="D20">
        <v>131421090000</v>
      </c>
      <c r="E20">
        <v>157289866920</v>
      </c>
      <c r="F20">
        <f>(E20-D20)</f>
        <v>25868776920</v>
      </c>
      <c r="G20">
        <f>(E20/D20)*100</f>
        <v>119.68388553161444</v>
      </c>
      <c r="H20">
        <v>37691</v>
      </c>
      <c r="I20">
        <v>128.3545816733068</v>
      </c>
      <c r="J20">
        <v>11.908366533864539</v>
      </c>
      <c r="K20">
        <v>9.0637450199203187</v>
      </c>
      <c r="L20">
        <v>0.70517928286852594</v>
      </c>
      <c r="M20">
        <v>0.11155378486055779</v>
      </c>
      <c r="N20">
        <v>1.9920318725099601E-2</v>
      </c>
      <c r="O20">
        <v>128.11553784860561</v>
      </c>
      <c r="P20" t="s">
        <v>31</v>
      </c>
      <c r="Q20" s="6">
        <v>42.629482071713149</v>
      </c>
      <c r="R20">
        <v>32217</v>
      </c>
      <c r="S20">
        <v>2989</v>
      </c>
      <c r="T20" s="6">
        <v>35206</v>
      </c>
      <c r="U20">
        <v>2275</v>
      </c>
      <c r="V20">
        <v>177</v>
      </c>
      <c r="W20" s="6">
        <v>2452</v>
      </c>
      <c r="X20" s="6">
        <v>28</v>
      </c>
      <c r="Y20">
        <v>5</v>
      </c>
      <c r="Z20">
        <v>33</v>
      </c>
    </row>
    <row r="21" spans="1:26" x14ac:dyDescent="0.35">
      <c r="A21">
        <v>11</v>
      </c>
      <c r="B21" t="s">
        <v>21</v>
      </c>
      <c r="C21">
        <v>251</v>
      </c>
      <c r="D21" s="10">
        <v>131421090000</v>
      </c>
      <c r="E21" s="10">
        <v>148641587120</v>
      </c>
      <c r="F21">
        <f>(E21-D21)</f>
        <v>17220497120</v>
      </c>
      <c r="G21">
        <f>(E21/D21)*100</f>
        <v>113.10329804752037</v>
      </c>
      <c r="H21" s="19">
        <v>37661</v>
      </c>
      <c r="I21">
        <v>128.48605577689241</v>
      </c>
      <c r="J21">
        <v>11.597609561752989</v>
      </c>
      <c r="K21">
        <v>9.1155378486055785</v>
      </c>
      <c r="L21">
        <v>0.71713147410358569</v>
      </c>
      <c r="M21">
        <v>0.12749003984063739</v>
      </c>
      <c r="N21">
        <v>0</v>
      </c>
      <c r="O21">
        <v>128.43426294820719</v>
      </c>
      <c r="P21" t="s">
        <v>23</v>
      </c>
      <c r="Q21">
        <v>37.450199203187253</v>
      </c>
      <c r="R21">
        <v>32250</v>
      </c>
      <c r="S21">
        <v>2911</v>
      </c>
      <c r="T21">
        <v>35161</v>
      </c>
      <c r="U21">
        <v>2288</v>
      </c>
      <c r="V21">
        <v>180</v>
      </c>
      <c r="W21" s="11">
        <v>2468</v>
      </c>
      <c r="X21">
        <v>32</v>
      </c>
      <c r="Y21">
        <v>0</v>
      </c>
      <c r="Z21" s="10">
        <v>32</v>
      </c>
    </row>
    <row r="22" spans="1:26" x14ac:dyDescent="0.35">
      <c r="A22">
        <v>26</v>
      </c>
      <c r="B22" t="s">
        <v>21</v>
      </c>
      <c r="C22">
        <v>251</v>
      </c>
      <c r="D22">
        <v>82727220000</v>
      </c>
      <c r="E22">
        <v>110189550920</v>
      </c>
      <c r="F22">
        <f>(E22-D22)</f>
        <v>27462330920</v>
      </c>
      <c r="G22">
        <f>(E22/D22)*100</f>
        <v>133.19624534705747</v>
      </c>
      <c r="H22">
        <v>23703</v>
      </c>
      <c r="I22">
        <v>80.896414342629484</v>
      </c>
      <c r="J22">
        <v>7.3187250996015933</v>
      </c>
      <c r="K22">
        <v>5.5776892430278888</v>
      </c>
      <c r="L22">
        <v>0.52589641434262946</v>
      </c>
      <c r="M22">
        <v>0.10756972111553791</v>
      </c>
      <c r="N22">
        <v>7.9681274900398405E-3</v>
      </c>
      <c r="O22">
        <v>80.733067729083672</v>
      </c>
      <c r="P22" t="s">
        <v>33</v>
      </c>
      <c r="Q22" s="11">
        <v>20.717131474103589</v>
      </c>
      <c r="R22">
        <v>20305</v>
      </c>
      <c r="S22">
        <v>1837</v>
      </c>
      <c r="T22">
        <v>22142</v>
      </c>
      <c r="U22">
        <v>1400</v>
      </c>
      <c r="V22">
        <v>132</v>
      </c>
      <c r="W22" s="17">
        <v>1532</v>
      </c>
      <c r="X22">
        <v>27</v>
      </c>
      <c r="Y22">
        <v>2</v>
      </c>
      <c r="Z22">
        <v>29</v>
      </c>
    </row>
    <row r="23" spans="1:26" x14ac:dyDescent="0.35">
      <c r="A23">
        <v>30</v>
      </c>
    </row>
    <row r="24" spans="1:26" x14ac:dyDescent="0.35">
      <c r="A24">
        <v>31</v>
      </c>
    </row>
    <row r="25" spans="1:26" x14ac:dyDescent="0.35">
      <c r="A25">
        <v>32</v>
      </c>
    </row>
    <row r="26" spans="1:26" x14ac:dyDescent="0.35">
      <c r="A26">
        <v>33</v>
      </c>
    </row>
    <row r="27" spans="1:26" x14ac:dyDescent="0.35">
      <c r="A27">
        <v>34</v>
      </c>
    </row>
    <row r="28" spans="1:26" x14ac:dyDescent="0.35">
      <c r="A28">
        <v>35</v>
      </c>
    </row>
    <row r="29" spans="1:26" x14ac:dyDescent="0.35">
      <c r="A29">
        <v>36</v>
      </c>
    </row>
    <row r="30" spans="1:26" x14ac:dyDescent="0.35">
      <c r="A30">
        <v>37</v>
      </c>
      <c r="X30"/>
    </row>
    <row r="31" spans="1:26" x14ac:dyDescent="0.35">
      <c r="A31">
        <v>38</v>
      </c>
    </row>
    <row r="32" spans="1:26" x14ac:dyDescent="0.35">
      <c r="A32">
        <v>39</v>
      </c>
    </row>
    <row r="33" spans="1:1" x14ac:dyDescent="0.35">
      <c r="A33">
        <v>40</v>
      </c>
    </row>
    <row r="34" spans="1:1" x14ac:dyDescent="0.35">
      <c r="A34">
        <v>41</v>
      </c>
    </row>
    <row r="35" spans="1:1" x14ac:dyDescent="0.35">
      <c r="A35">
        <v>42</v>
      </c>
    </row>
    <row r="36" spans="1:1" x14ac:dyDescent="0.35">
      <c r="A36">
        <v>43</v>
      </c>
    </row>
    <row r="37" spans="1:1" x14ac:dyDescent="0.35">
      <c r="A37">
        <v>44</v>
      </c>
    </row>
    <row r="38" spans="1:1" x14ac:dyDescent="0.35">
      <c r="A38">
        <v>45</v>
      </c>
    </row>
    <row r="39" spans="1:1" x14ac:dyDescent="0.35">
      <c r="A39">
        <v>46</v>
      </c>
    </row>
    <row r="40" spans="1:1" x14ac:dyDescent="0.35">
      <c r="A40">
        <v>47</v>
      </c>
    </row>
    <row r="41" spans="1:1" x14ac:dyDescent="0.35">
      <c r="A41">
        <v>48</v>
      </c>
    </row>
    <row r="42" spans="1:1" x14ac:dyDescent="0.35">
      <c r="A42">
        <v>49</v>
      </c>
    </row>
    <row r="43" spans="1:1" x14ac:dyDescent="0.35">
      <c r="A43">
        <v>50</v>
      </c>
    </row>
    <row r="44" spans="1:1" x14ac:dyDescent="0.35">
      <c r="A44">
        <v>51</v>
      </c>
    </row>
  </sheetData>
  <autoFilter ref="A2:AF2" xr:uid="{DC7E6EA3-2D38-4135-924B-9AF374495996}">
    <sortState ref="A3:AF44">
      <sortCondition descending="1" ref="Z2"/>
    </sortState>
  </autoFilter>
  <sortState ref="A3:Z44">
    <sortCondition descending="1" ref="R3"/>
  </sortState>
  <mergeCells count="4">
    <mergeCell ref="U1:W1"/>
    <mergeCell ref="X1:Z1"/>
    <mergeCell ref="I1:O1"/>
    <mergeCell ref="R1:T1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2025-12-26T05:17:17Z</dcterms:modified>
</cp:coreProperties>
</file>