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/>
  <mc:AlternateContent xmlns:mc="http://schemas.openxmlformats.org/markup-compatibility/2006">
    <mc:Choice Requires="x15">
      <x15ac:absPath xmlns:x15ac="http://schemas.microsoft.com/office/spreadsheetml/2010/11/ac" url="D:\535\daily1689\"/>
    </mc:Choice>
  </mc:AlternateContent>
  <xr:revisionPtr revIDLastSave="0" documentId="13_ncr:1_{5BA19CC8-4356-400C-AF92-D75DEB51E997}" xr6:coauthVersionLast="41" xr6:coauthVersionMax="41" xr10:uidLastSave="{00000000-0000-0000-0000-000000000000}"/>
  <bookViews>
    <workbookView xWindow="4230" yWindow="130" windowWidth="28800" windowHeight="1871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Sheet1!$A$2:$AM$2</definedName>
  </definedNames>
  <calcPr calcId="191029"/>
</workbook>
</file>

<file path=xl/calcChain.xml><?xml version="1.0" encoding="utf-8"?>
<calcChain xmlns="http://schemas.openxmlformats.org/spreadsheetml/2006/main">
  <c r="I2" i="2" l="1"/>
  <c r="G2" i="2"/>
  <c r="F2" i="2"/>
  <c r="I1" i="2"/>
  <c r="G1" i="2"/>
  <c r="F1" i="2"/>
</calcChain>
</file>

<file path=xl/sharedStrings.xml><?xml version="1.0" encoding="utf-8"?>
<sst xmlns="http://schemas.openxmlformats.org/spreadsheetml/2006/main" count="302" uniqueCount="95">
  <si>
    <t>Trung bình/Kỳ</t>
  </si>
  <si>
    <t>Trúng 3</t>
  </si>
  <si>
    <t>Trúng 4</t>
  </si>
  <si>
    <t>Trúng 5</t>
  </si>
  <si>
    <t>Kịch bản
#</t>
  </si>
  <si>
    <t>Từ-Đến</t>
  </si>
  <si>
    <t>Số kỳ</t>
  </si>
  <si>
    <t>% thu hồi</t>
  </si>
  <si>
    <t>Tất cả vé&gt;=3</t>
  </si>
  <si>
    <t>Tất cả  +1</t>
  </si>
  <si>
    <t>3+</t>
  </si>
  <si>
    <t>#3</t>
  </si>
  <si>
    <t>4+</t>
  </si>
  <si>
    <t>#4</t>
  </si>
  <si>
    <t>5+</t>
  </si>
  <si>
    <t>#5</t>
  </si>
  <si>
    <t>+</t>
  </si>
  <si>
    <t>Thu 
&lt;80%</t>
  </si>
  <si>
    <t>Tỉ lệ
&lt;80%</t>
  </si>
  <si>
    <t>Thu 
&gt;90%</t>
  </si>
  <si>
    <t>Tỉ lệ
&gt;90%</t>
  </si>
  <si>
    <t>Số chu kỳ 10 kỳ thu hồi
 &gt;=90%</t>
  </si>
  <si>
    <t>Tỉ lệ chu kỳ 10 kỳ 
thu hồi 
10 &gt;=90%</t>
  </si>
  <si>
    <t>Số chu kỳ 10 kỳ thu hồi
 &gt;=100%</t>
  </si>
  <si>
    <t>Tỉ lệ chu kỳ 10 kỳ 
thu hồi 
10 &gt;=100%</t>
  </si>
  <si>
    <t>Tổng  3</t>
  </si>
  <si>
    <t>Tổng 4</t>
  </si>
  <si>
    <t>Tổng 5</t>
  </si>
  <si>
    <t>Chi</t>
  </si>
  <si>
    <t>Thu</t>
  </si>
  <si>
    <t>Lãi/Lỗ</t>
  </si>
  <si>
    <t>100-369</t>
  </si>
  <si>
    <t>270</t>
  </si>
  <si>
    <t>85/270</t>
  </si>
  <si>
    <t>178/270</t>
  </si>
  <si>
    <t>25/27</t>
  </si>
  <si>
    <t>22/27</t>
  </si>
  <si>
    <t>100/270</t>
  </si>
  <si>
    <t>168/270</t>
  </si>
  <si>
    <t>24/27</t>
  </si>
  <si>
    <t>21/27</t>
  </si>
  <si>
    <t>90/270</t>
  </si>
  <si>
    <t>176/270</t>
  </si>
  <si>
    <t>95/270</t>
  </si>
  <si>
    <t>170/270</t>
  </si>
  <si>
    <t>93/270</t>
  </si>
  <si>
    <t>26/27</t>
  </si>
  <si>
    <t>23/27</t>
  </si>
  <si>
    <t>66/270</t>
  </si>
  <si>
    <t>197/270</t>
  </si>
  <si>
    <t>92/270</t>
  </si>
  <si>
    <t>175/270</t>
  </si>
  <si>
    <t>79/270</t>
  </si>
  <si>
    <t>187/270</t>
  </si>
  <si>
    <t>27/27</t>
  </si>
  <si>
    <t>87/270</t>
  </si>
  <si>
    <t>101/270</t>
  </si>
  <si>
    <t>164/270</t>
  </si>
  <si>
    <t>91/270</t>
  </si>
  <si>
    <t>177/270</t>
  </si>
  <si>
    <t>112/270</t>
  </si>
  <si>
    <t>157/270</t>
  </si>
  <si>
    <t>18/27</t>
  </si>
  <si>
    <t>96/270</t>
  </si>
  <si>
    <t>171/270</t>
  </si>
  <si>
    <t>19/27</t>
  </si>
  <si>
    <t>86/270</t>
  </si>
  <si>
    <t>166/270</t>
  </si>
  <si>
    <t>88/270</t>
  </si>
  <si>
    <t>83/270</t>
  </si>
  <si>
    <t>183/270</t>
  </si>
  <si>
    <t>20/27</t>
  </si>
  <si>
    <t>84/270</t>
  </si>
  <si>
    <t>82/270</t>
  </si>
  <si>
    <t>185/270</t>
  </si>
  <si>
    <t>174/270</t>
  </si>
  <si>
    <t>180/270</t>
  </si>
  <si>
    <t>94/270</t>
  </si>
  <si>
    <t>169/270</t>
  </si>
  <si>
    <t>89/270</t>
  </si>
  <si>
    <t>81/270</t>
  </si>
  <si>
    <t>182/270</t>
  </si>
  <si>
    <t>186/270</t>
  </si>
  <si>
    <t>102/270</t>
  </si>
  <si>
    <t>163/270</t>
  </si>
  <si>
    <t>70/270</t>
  </si>
  <si>
    <t>196/270</t>
  </si>
  <si>
    <t>172/270</t>
  </si>
  <si>
    <t>162/270</t>
  </si>
  <si>
    <t>173/270</t>
  </si>
  <si>
    <t>100-350</t>
  </si>
  <si>
    <t>251</t>
  </si>
  <si>
    <t>131421090000</t>
  </si>
  <si>
    <t>176344126840.0</t>
  </si>
  <si>
    <t>81/251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</si>
</sst>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C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/>
  </cellStyleXfs>
  <cellXfs count="27">
    <xf numFmtId="0" fontId="0" fillId="0" borderId="0" xfId="0"/>
    <xf numFmtId="0" fontId="1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1" applyNumberFormat="1" applyFont="1" applyFill="1" applyAlignment="1">
      <alignment horizontal="center" vertical="center"/>
    </xf>
    <xf numFmtId="0" fontId="1" fillId="8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/>
    </xf>
    <xf numFmtId="2" fontId="1" fillId="5" borderId="0" xfId="0" applyNumberFormat="1" applyFont="1" applyFill="1" applyAlignment="1">
      <alignment horizontal="center" vertical="center"/>
    </xf>
    <xf numFmtId="0" fontId="1" fillId="7" borderId="0" xfId="0" applyFont="1" applyFill="1" applyAlignment="1">
      <alignment horizontal="center" vertical="center"/>
    </xf>
    <xf numFmtId="0" fontId="1" fillId="9" borderId="0" xfId="0" applyFont="1" applyFill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164" fontId="2" fillId="0" borderId="0" xfId="1" applyNumberFormat="1"/>
    <xf numFmtId="0" fontId="0" fillId="0" borderId="0" xfId="0"/>
    <xf numFmtId="2" fontId="0" fillId="0" borderId="0" xfId="0" applyNumberFormat="1"/>
    <xf numFmtId="0" fontId="0" fillId="0" borderId="0" xfId="0"/>
    <xf numFmtId="0" fontId="3" fillId="11" borderId="0" xfId="0" applyFont="1" applyFill="1"/>
    <xf numFmtId="0" fontId="3" fillId="12" borderId="0" xfId="0" applyFont="1" applyFill="1"/>
    <xf numFmtId="0" fontId="0" fillId="13" borderId="0" xfId="0" applyFill="1"/>
    <xf numFmtId="164" fontId="3" fillId="11" borderId="0" xfId="1" applyNumberFormat="1" applyFont="1" applyFill="1"/>
    <xf numFmtId="0" fontId="1" fillId="2" borderId="0" xfId="0" applyFont="1" applyFill="1" applyAlignment="1">
      <alignment horizontal="center"/>
    </xf>
    <xf numFmtId="0" fontId="0" fillId="0" borderId="0" xfId="0"/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" fontId="0" fillId="0" borderId="0" xfId="0" applyNumberFormat="1"/>
    <xf numFmtId="0" fontId="0" fillId="5" borderId="0" xfId="0" applyFill="1" applyAlignment="1">
      <alignment horizontal="center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53"/>
  <sheetViews>
    <sheetView tabSelected="1" workbookViewId="0">
      <pane xSplit="4" ySplit="2" topLeftCell="Q3" activePane="bottomRight" state="frozen"/>
      <selection pane="topRight" activeCell="E1" sqref="E1"/>
      <selection pane="bottomLeft" activeCell="A3" sqref="A3"/>
      <selection pane="bottomRight" activeCell="R1" sqref="R1"/>
    </sheetView>
  </sheetViews>
  <sheetFormatPr defaultRowHeight="14.5" x14ac:dyDescent="0.35"/>
  <cols>
    <col min="2" max="2" width="9" style="14" customWidth="1"/>
    <col min="3" max="3" width="8.36328125" style="14" customWidth="1"/>
    <col min="4" max="4" width="16.453125" style="14" customWidth="1"/>
    <col min="5" max="5" width="11.6328125" style="14" customWidth="1"/>
    <col min="6" max="6" width="14.1796875" style="14" customWidth="1"/>
    <col min="7" max="7" width="8.453125" style="14" customWidth="1"/>
    <col min="8" max="15" width="6.453125" style="14" customWidth="1"/>
    <col min="16" max="16" width="8" style="14" customWidth="1"/>
    <col min="17" max="17" width="9" style="14" customWidth="1"/>
    <col min="18" max="20" width="9.1796875" style="14" customWidth="1"/>
    <col min="21" max="21" width="17.81640625" style="14" customWidth="1"/>
    <col min="22" max="24" width="16.90625" style="14" customWidth="1"/>
    <col min="25" max="29" width="9.26953125" style="14" hidden="1" customWidth="1"/>
    <col min="30" max="30" width="9.26953125" style="15" customWidth="1"/>
    <col min="31" max="33" width="9.26953125" style="14" customWidth="1"/>
    <col min="34" max="34" width="25.7265625" style="13" hidden="1" customWidth="1"/>
    <col min="35" max="35" width="18.7265625" style="13" hidden="1" customWidth="1"/>
    <col min="36" max="36" width="18.7265625" style="13" customWidth="1"/>
    <col min="37" max="39" width="6.54296875" style="14" customWidth="1"/>
  </cols>
  <sheetData>
    <row r="1" spans="1:36" x14ac:dyDescent="0.35">
      <c r="G1" s="26" t="s">
        <v>0</v>
      </c>
      <c r="H1" s="22"/>
      <c r="I1" s="22"/>
      <c r="J1" s="22"/>
      <c r="K1" s="22"/>
      <c r="L1" s="22"/>
      <c r="M1" s="22"/>
      <c r="N1" s="22"/>
      <c r="O1" s="22"/>
      <c r="P1" s="22"/>
      <c r="Y1" s="21" t="s">
        <v>1</v>
      </c>
      <c r="Z1" s="22"/>
      <c r="AA1" s="22"/>
      <c r="AB1" s="24" t="s">
        <v>2</v>
      </c>
      <c r="AC1" s="22"/>
      <c r="AD1" s="25"/>
      <c r="AE1" s="23" t="s">
        <v>3</v>
      </c>
      <c r="AF1" s="22"/>
      <c r="AG1" s="22"/>
    </row>
    <row r="2" spans="1:36" s="2" customFormat="1" ht="65.5" customHeight="1" x14ac:dyDescent="0.35">
      <c r="A2" s="5" t="s">
        <v>4</v>
      </c>
      <c r="B2" s="1" t="s">
        <v>5</v>
      </c>
      <c r="C2" s="1" t="s">
        <v>6</v>
      </c>
      <c r="D2" s="10" t="s">
        <v>7</v>
      </c>
      <c r="E2" s="1" t="s">
        <v>8</v>
      </c>
      <c r="F2" s="1" t="s">
        <v>9</v>
      </c>
      <c r="G2" s="3">
        <v>3</v>
      </c>
      <c r="H2" s="3" t="s">
        <v>10</v>
      </c>
      <c r="I2" s="3" t="s">
        <v>11</v>
      </c>
      <c r="J2" s="3">
        <v>4</v>
      </c>
      <c r="K2" s="3" t="s">
        <v>12</v>
      </c>
      <c r="L2" s="3" t="s">
        <v>13</v>
      </c>
      <c r="M2" s="3">
        <v>5</v>
      </c>
      <c r="N2" s="3" t="s">
        <v>14</v>
      </c>
      <c r="O2" s="3" t="s">
        <v>15</v>
      </c>
      <c r="P2" s="3" t="s">
        <v>16</v>
      </c>
      <c r="Q2" s="4" t="s">
        <v>17</v>
      </c>
      <c r="R2" s="4" t="s">
        <v>18</v>
      </c>
      <c r="S2" s="11" t="s">
        <v>19</v>
      </c>
      <c r="T2" s="11" t="s">
        <v>20</v>
      </c>
      <c r="U2" s="12" t="s">
        <v>21</v>
      </c>
      <c r="V2" s="12" t="s">
        <v>22</v>
      </c>
      <c r="W2" s="7" t="s">
        <v>23</v>
      </c>
      <c r="X2" s="7" t="s">
        <v>24</v>
      </c>
      <c r="Y2" s="8">
        <v>3</v>
      </c>
      <c r="Z2" s="8" t="s">
        <v>10</v>
      </c>
      <c r="AA2" s="8" t="s">
        <v>25</v>
      </c>
      <c r="AB2" s="8">
        <v>4</v>
      </c>
      <c r="AC2" s="8" t="s">
        <v>12</v>
      </c>
      <c r="AD2" s="9" t="s">
        <v>26</v>
      </c>
      <c r="AE2" s="8">
        <v>5</v>
      </c>
      <c r="AF2" s="8" t="s">
        <v>14</v>
      </c>
      <c r="AG2" s="8" t="s">
        <v>27</v>
      </c>
      <c r="AH2" s="6" t="s">
        <v>28</v>
      </c>
      <c r="AI2" s="6" t="s">
        <v>29</v>
      </c>
      <c r="AJ2" s="6" t="s">
        <v>30</v>
      </c>
    </row>
    <row r="3" spans="1:36" x14ac:dyDescent="0.35">
      <c r="A3">
        <v>15</v>
      </c>
      <c r="B3" t="s">
        <v>31</v>
      </c>
      <c r="C3" t="s">
        <v>32</v>
      </c>
      <c r="D3">
        <v>139.96710940777101</v>
      </c>
      <c r="E3">
        <v>40738</v>
      </c>
      <c r="F3">
        <v>3404</v>
      </c>
      <c r="G3">
        <v>128.67037037037039</v>
      </c>
      <c r="H3">
        <v>11.640740740740741</v>
      </c>
      <c r="I3">
        <v>11.640740740740741</v>
      </c>
      <c r="J3">
        <v>10.37777777777778</v>
      </c>
      <c r="K3">
        <v>0.93333333333333335</v>
      </c>
      <c r="L3">
        <v>0.93333333333333335</v>
      </c>
      <c r="M3">
        <v>0.15925925925925929</v>
      </c>
      <c r="N3">
        <v>3.3333333333333333E-2</v>
      </c>
      <c r="O3">
        <v>0.19259259259259259</v>
      </c>
      <c r="P3">
        <v>128.14074074074071</v>
      </c>
      <c r="Q3" t="s">
        <v>48</v>
      </c>
      <c r="R3" s="17">
        <v>24.444444444444439</v>
      </c>
      <c r="S3" t="s">
        <v>49</v>
      </c>
      <c r="T3" s="17">
        <v>72.962962962962962</v>
      </c>
      <c r="U3" t="s">
        <v>35</v>
      </c>
      <c r="V3" s="19">
        <v>92.592592592592595</v>
      </c>
      <c r="W3" t="s">
        <v>35</v>
      </c>
      <c r="X3" s="19">
        <v>92.592592592592595</v>
      </c>
      <c r="Y3">
        <v>34741</v>
      </c>
      <c r="Z3">
        <v>3143</v>
      </c>
      <c r="AA3">
        <v>37884</v>
      </c>
      <c r="AB3">
        <v>2342</v>
      </c>
      <c r="AC3">
        <v>252</v>
      </c>
      <c r="AD3">
        <v>2802</v>
      </c>
      <c r="AE3">
        <v>43</v>
      </c>
      <c r="AF3">
        <v>9</v>
      </c>
      <c r="AG3" s="17">
        <v>52</v>
      </c>
      <c r="AH3" s="13">
        <v>141369300000</v>
      </c>
      <c r="AI3" s="13">
        <v>197870522800</v>
      </c>
      <c r="AJ3" s="20">
        <v>56501222800</v>
      </c>
    </row>
    <row r="4" spans="1:36" x14ac:dyDescent="0.35">
      <c r="A4">
        <v>48</v>
      </c>
      <c r="B4" t="s">
        <v>31</v>
      </c>
      <c r="C4" t="s">
        <v>32</v>
      </c>
      <c r="D4">
        <v>138.6072636704009</v>
      </c>
      <c r="E4">
        <v>40780</v>
      </c>
      <c r="F4">
        <v>3454</v>
      </c>
      <c r="G4">
        <v>128.58148148148149</v>
      </c>
      <c r="H4">
        <v>11.93333333333333</v>
      </c>
      <c r="I4">
        <v>11.93333333333333</v>
      </c>
      <c r="J4">
        <v>10.32592592592593</v>
      </c>
      <c r="K4">
        <v>0.85185185185185186</v>
      </c>
      <c r="L4">
        <v>0.85185185185185186</v>
      </c>
      <c r="M4">
        <v>0.18888888888888891</v>
      </c>
      <c r="N4">
        <v>7.4074074074074077E-3</v>
      </c>
      <c r="O4">
        <v>0.1962962962962963</v>
      </c>
      <c r="P4">
        <v>127.99629629629629</v>
      </c>
      <c r="Q4" t="s">
        <v>85</v>
      </c>
      <c r="R4" s="17">
        <v>25.92592592592592</v>
      </c>
      <c r="S4" t="s">
        <v>86</v>
      </c>
      <c r="T4" s="17">
        <v>72.592592592592595</v>
      </c>
      <c r="U4" t="s">
        <v>39</v>
      </c>
      <c r="V4" s="16">
        <v>88.888888888888886</v>
      </c>
      <c r="W4" t="s">
        <v>36</v>
      </c>
      <c r="X4" s="16">
        <v>81.481481481481481</v>
      </c>
      <c r="Y4">
        <v>34717</v>
      </c>
      <c r="Z4">
        <v>3222</v>
      </c>
      <c r="AA4">
        <v>37939</v>
      </c>
      <c r="AB4">
        <v>2346</v>
      </c>
      <c r="AC4">
        <v>230</v>
      </c>
      <c r="AD4">
        <v>2788</v>
      </c>
      <c r="AE4">
        <v>51</v>
      </c>
      <c r="AF4">
        <v>2</v>
      </c>
      <c r="AG4" s="17">
        <v>53</v>
      </c>
      <c r="AH4" s="13">
        <v>141369300000</v>
      </c>
      <c r="AI4" s="13">
        <v>195948118400</v>
      </c>
      <c r="AJ4" s="20">
        <v>54578818400</v>
      </c>
    </row>
    <row r="5" spans="1:36" x14ac:dyDescent="0.35">
      <c r="A5">
        <v>17</v>
      </c>
      <c r="B5" t="s">
        <v>31</v>
      </c>
      <c r="C5" t="s">
        <v>32</v>
      </c>
      <c r="D5">
        <v>129.1463196747809</v>
      </c>
      <c r="E5">
        <v>40700</v>
      </c>
      <c r="F5">
        <v>3369</v>
      </c>
      <c r="G5">
        <v>128.6333333333333</v>
      </c>
      <c r="H5">
        <v>11.614814814814819</v>
      </c>
      <c r="I5">
        <v>11.614814814814819</v>
      </c>
      <c r="J5">
        <v>10.33333333333333</v>
      </c>
      <c r="K5">
        <v>0.8481481481481481</v>
      </c>
      <c r="L5">
        <v>0.8481481481481481</v>
      </c>
      <c r="M5">
        <v>0.1444444444444444</v>
      </c>
      <c r="N5">
        <v>1.4814814814814821E-2</v>
      </c>
      <c r="O5">
        <v>0.15925925925925929</v>
      </c>
      <c r="P5">
        <v>128.27037037037039</v>
      </c>
      <c r="Q5" t="s">
        <v>52</v>
      </c>
      <c r="R5">
        <v>29.25925925925926</v>
      </c>
      <c r="S5" t="s">
        <v>53</v>
      </c>
      <c r="T5">
        <v>69.259259259259252</v>
      </c>
      <c r="U5" t="s">
        <v>54</v>
      </c>
      <c r="V5" s="17">
        <v>100</v>
      </c>
      <c r="W5" t="s">
        <v>35</v>
      </c>
      <c r="X5" s="19">
        <v>92.592592592592595</v>
      </c>
      <c r="Y5">
        <v>34731</v>
      </c>
      <c r="Z5">
        <v>3136</v>
      </c>
      <c r="AA5">
        <v>37867</v>
      </c>
      <c r="AB5">
        <v>2389</v>
      </c>
      <c r="AC5">
        <v>229</v>
      </c>
      <c r="AD5">
        <v>2790</v>
      </c>
      <c r="AE5">
        <v>39</v>
      </c>
      <c r="AF5">
        <v>4</v>
      </c>
      <c r="AG5" s="16">
        <v>43</v>
      </c>
      <c r="AH5" s="13">
        <v>141369300000</v>
      </c>
      <c r="AI5" s="13">
        <v>182573248100</v>
      </c>
      <c r="AJ5" s="13">
        <v>41203948100</v>
      </c>
    </row>
    <row r="6" spans="1:36" x14ac:dyDescent="0.35">
      <c r="A6">
        <v>46</v>
      </c>
      <c r="B6" t="s">
        <v>31</v>
      </c>
      <c r="C6" t="s">
        <v>32</v>
      </c>
      <c r="D6">
        <v>140.56670090323709</v>
      </c>
      <c r="E6">
        <v>40771</v>
      </c>
      <c r="F6">
        <v>3410</v>
      </c>
      <c r="G6">
        <v>128.7074074074074</v>
      </c>
      <c r="H6">
        <v>11.75185185185185</v>
      </c>
      <c r="I6">
        <v>11.75185185185185</v>
      </c>
      <c r="J6">
        <v>10.34074074074074</v>
      </c>
      <c r="K6">
        <v>0.86296296296296293</v>
      </c>
      <c r="L6">
        <v>0.86296296296296293</v>
      </c>
      <c r="M6">
        <v>0.18888888888888891</v>
      </c>
      <c r="N6">
        <v>1.4814814814814821E-2</v>
      </c>
      <c r="O6">
        <v>0.20370370370370369</v>
      </c>
      <c r="P6">
        <v>128.10740740740741</v>
      </c>
      <c r="Q6" t="s">
        <v>80</v>
      </c>
      <c r="R6" s="16">
        <v>30</v>
      </c>
      <c r="S6" t="s">
        <v>53</v>
      </c>
      <c r="T6" s="16">
        <v>69.259259259259252</v>
      </c>
      <c r="U6" t="s">
        <v>46</v>
      </c>
      <c r="V6" s="18">
        <v>96.296296296296291</v>
      </c>
      <c r="W6" t="s">
        <v>46</v>
      </c>
      <c r="X6" s="18">
        <v>96.296296296296291</v>
      </c>
      <c r="Y6">
        <v>34751</v>
      </c>
      <c r="Z6">
        <v>3173</v>
      </c>
      <c r="AA6">
        <v>37924</v>
      </c>
      <c r="AB6">
        <v>2339</v>
      </c>
      <c r="AC6">
        <v>233</v>
      </c>
      <c r="AD6">
        <v>2792</v>
      </c>
      <c r="AE6">
        <v>51</v>
      </c>
      <c r="AF6">
        <v>4</v>
      </c>
      <c r="AG6" s="17">
        <v>55</v>
      </c>
      <c r="AH6" s="13">
        <v>141369300000</v>
      </c>
      <c r="AI6" s="13">
        <v>198718161100</v>
      </c>
      <c r="AJ6" s="20">
        <v>57348861100</v>
      </c>
    </row>
    <row r="7" spans="1:36" x14ac:dyDescent="0.35">
      <c r="A7">
        <v>41</v>
      </c>
      <c r="B7" t="s">
        <v>31</v>
      </c>
      <c r="C7" t="s">
        <v>32</v>
      </c>
      <c r="D7">
        <v>137.40609276554389</v>
      </c>
      <c r="E7">
        <v>40738</v>
      </c>
      <c r="F7">
        <v>3383</v>
      </c>
      <c r="G7">
        <v>128.64814814814821</v>
      </c>
      <c r="H7">
        <v>11.662962962962959</v>
      </c>
      <c r="I7">
        <v>11.662962962962959</v>
      </c>
      <c r="J7">
        <v>10.37777777777778</v>
      </c>
      <c r="K7">
        <v>0.8481481481481481</v>
      </c>
      <c r="L7">
        <v>0.8481481481481481</v>
      </c>
      <c r="M7">
        <v>0.1740740740740741</v>
      </c>
      <c r="N7">
        <v>1.8518518518518521E-2</v>
      </c>
      <c r="O7">
        <v>0.19259259259259259</v>
      </c>
      <c r="P7">
        <v>128.22592592592591</v>
      </c>
      <c r="Q7" t="s">
        <v>80</v>
      </c>
      <c r="R7">
        <v>30</v>
      </c>
      <c r="S7" t="s">
        <v>82</v>
      </c>
      <c r="T7">
        <v>68.888888888888886</v>
      </c>
      <c r="U7" t="s">
        <v>46</v>
      </c>
      <c r="V7" s="18">
        <v>96.296296296296291</v>
      </c>
      <c r="W7" t="s">
        <v>39</v>
      </c>
      <c r="X7" s="16">
        <v>88.888888888888886</v>
      </c>
      <c r="Y7">
        <v>34735</v>
      </c>
      <c r="Z7">
        <v>3149</v>
      </c>
      <c r="AA7">
        <v>37884</v>
      </c>
      <c r="AB7">
        <v>2365</v>
      </c>
      <c r="AC7">
        <v>229</v>
      </c>
      <c r="AD7">
        <v>2802</v>
      </c>
      <c r="AE7">
        <v>47</v>
      </c>
      <c r="AF7">
        <v>5</v>
      </c>
      <c r="AG7" s="17">
        <v>52</v>
      </c>
      <c r="AH7" s="13">
        <v>141369300000</v>
      </c>
      <c r="AI7" s="13">
        <v>194250031500</v>
      </c>
      <c r="AJ7" s="20">
        <v>52880731500</v>
      </c>
    </row>
    <row r="8" spans="1:36" x14ac:dyDescent="0.35">
      <c r="A8">
        <v>40</v>
      </c>
      <c r="B8" t="s">
        <v>31</v>
      </c>
      <c r="C8" t="s">
        <v>32</v>
      </c>
      <c r="D8">
        <v>135.68522974931619</v>
      </c>
      <c r="E8">
        <v>40738</v>
      </c>
      <c r="F8">
        <v>3222</v>
      </c>
      <c r="G8">
        <v>129.1925925925926</v>
      </c>
      <c r="H8">
        <v>11.11851851851852</v>
      </c>
      <c r="I8">
        <v>11.11851851851852</v>
      </c>
      <c r="J8">
        <v>10.37777777777778</v>
      </c>
      <c r="K8">
        <v>0.81111111111111112</v>
      </c>
      <c r="L8">
        <v>0.81111111111111112</v>
      </c>
      <c r="M8">
        <v>0.18888888888888891</v>
      </c>
      <c r="N8">
        <v>3.7037037037037038E-3</v>
      </c>
      <c r="O8">
        <v>0.19259259259259259</v>
      </c>
      <c r="P8">
        <v>128.83703703703699</v>
      </c>
      <c r="Q8" t="s">
        <v>80</v>
      </c>
      <c r="R8">
        <v>30</v>
      </c>
      <c r="S8" t="s">
        <v>81</v>
      </c>
      <c r="T8">
        <v>67.407407407407405</v>
      </c>
      <c r="U8" t="s">
        <v>39</v>
      </c>
      <c r="V8" s="16">
        <v>88.888888888888886</v>
      </c>
      <c r="W8" t="s">
        <v>47</v>
      </c>
      <c r="X8" s="16">
        <v>85.18518518518519</v>
      </c>
      <c r="Y8">
        <v>34882</v>
      </c>
      <c r="Z8">
        <v>3002</v>
      </c>
      <c r="AA8">
        <v>37884</v>
      </c>
      <c r="AB8">
        <v>2375</v>
      </c>
      <c r="AC8">
        <v>219</v>
      </c>
      <c r="AD8">
        <v>2802</v>
      </c>
      <c r="AE8">
        <v>51</v>
      </c>
      <c r="AF8">
        <v>1</v>
      </c>
      <c r="AG8" s="17">
        <v>52</v>
      </c>
      <c r="AH8" s="13">
        <v>141369300000</v>
      </c>
      <c r="AI8" s="13">
        <v>191817259500</v>
      </c>
      <c r="AJ8" s="20">
        <v>50447959500</v>
      </c>
    </row>
    <row r="9" spans="1:36" x14ac:dyDescent="0.35">
      <c r="A9">
        <v>32</v>
      </c>
      <c r="B9" t="s">
        <v>31</v>
      </c>
      <c r="C9" t="s">
        <v>32</v>
      </c>
      <c r="D9">
        <v>131.9339636487031</v>
      </c>
      <c r="E9">
        <v>40773</v>
      </c>
      <c r="F9">
        <v>3434</v>
      </c>
      <c r="G9">
        <v>128.65185185185189</v>
      </c>
      <c r="H9">
        <v>11.87037037037037</v>
      </c>
      <c r="I9">
        <v>11.87037037037037</v>
      </c>
      <c r="J9">
        <v>10.31851851851852</v>
      </c>
      <c r="K9">
        <v>0.84444444444444444</v>
      </c>
      <c r="L9">
        <v>0.84444444444444444</v>
      </c>
      <c r="M9">
        <v>0.16666666666666671</v>
      </c>
      <c r="N9">
        <v>3.7037037037037038E-3</v>
      </c>
      <c r="O9">
        <v>0.17037037037037039</v>
      </c>
      <c r="P9">
        <v>128.10740740740741</v>
      </c>
      <c r="Q9" t="s">
        <v>73</v>
      </c>
      <c r="R9" s="14">
        <v>30.37037037037037</v>
      </c>
      <c r="S9" t="s">
        <v>74</v>
      </c>
      <c r="T9" s="14">
        <v>68.518518518518519</v>
      </c>
      <c r="U9" t="s">
        <v>39</v>
      </c>
      <c r="V9" s="14">
        <v>88.888888888888886</v>
      </c>
      <c r="W9" t="s">
        <v>40</v>
      </c>
      <c r="X9" s="14">
        <v>77.777777777777786</v>
      </c>
      <c r="Y9">
        <v>34736</v>
      </c>
      <c r="Z9">
        <v>3205</v>
      </c>
      <c r="AA9">
        <v>37941</v>
      </c>
      <c r="AB9">
        <v>2374</v>
      </c>
      <c r="AC9">
        <v>228</v>
      </c>
      <c r="AD9">
        <v>2786</v>
      </c>
      <c r="AE9">
        <v>45</v>
      </c>
      <c r="AF9">
        <v>1</v>
      </c>
      <c r="AG9" s="16">
        <v>46</v>
      </c>
      <c r="AH9" s="13">
        <v>141453000000</v>
      </c>
      <c r="AI9" s="13">
        <v>186624549600</v>
      </c>
      <c r="AJ9" s="13">
        <v>45171549600</v>
      </c>
    </row>
    <row r="10" spans="1:36" x14ac:dyDescent="0.35">
      <c r="A10">
        <v>50</v>
      </c>
      <c r="B10" t="s">
        <v>31</v>
      </c>
      <c r="C10" t="s">
        <v>32</v>
      </c>
      <c r="D10">
        <v>138.82829730358711</v>
      </c>
      <c r="E10">
        <v>40801</v>
      </c>
      <c r="F10">
        <v>3423</v>
      </c>
      <c r="G10">
        <v>128.737037037037</v>
      </c>
      <c r="H10">
        <v>11.85555555555556</v>
      </c>
      <c r="I10">
        <v>11.85555555555556</v>
      </c>
      <c r="J10">
        <v>10.31851851851852</v>
      </c>
      <c r="K10">
        <v>0.8037037037037037</v>
      </c>
      <c r="L10">
        <v>0.8037037037037037</v>
      </c>
      <c r="M10">
        <v>0.1851851851851852</v>
      </c>
      <c r="N10">
        <v>1.8518518518518521E-2</v>
      </c>
      <c r="O10">
        <v>0.20370370370370369</v>
      </c>
      <c r="P10">
        <v>128.0740740740741</v>
      </c>
      <c r="Q10" t="s">
        <v>69</v>
      </c>
      <c r="R10">
        <v>30.74074074074074</v>
      </c>
      <c r="S10" t="s">
        <v>34</v>
      </c>
      <c r="T10">
        <v>65.925925925925924</v>
      </c>
      <c r="U10" t="s">
        <v>54</v>
      </c>
      <c r="V10" s="17">
        <v>100</v>
      </c>
      <c r="W10" t="s">
        <v>35</v>
      </c>
      <c r="X10" s="19">
        <v>92.592592592592595</v>
      </c>
      <c r="Y10">
        <v>34759</v>
      </c>
      <c r="Z10">
        <v>3201</v>
      </c>
      <c r="AA10">
        <v>37960</v>
      </c>
      <c r="AB10">
        <v>2349</v>
      </c>
      <c r="AC10">
        <v>217</v>
      </c>
      <c r="AD10">
        <v>2786</v>
      </c>
      <c r="AE10">
        <v>50</v>
      </c>
      <c r="AF10">
        <v>5</v>
      </c>
      <c r="AG10" s="17">
        <v>55</v>
      </c>
      <c r="AH10" s="13">
        <v>141369300000</v>
      </c>
      <c r="AI10" s="13">
        <v>196260592100</v>
      </c>
      <c r="AJ10" s="20">
        <v>54891292100</v>
      </c>
    </row>
    <row r="11" spans="1:36" x14ac:dyDescent="0.35">
      <c r="A11">
        <v>30</v>
      </c>
      <c r="B11" t="s">
        <v>31</v>
      </c>
      <c r="C11" t="s">
        <v>32</v>
      </c>
      <c r="D11">
        <v>131.4573185974607</v>
      </c>
      <c r="E11">
        <v>40730</v>
      </c>
      <c r="F11">
        <v>3412</v>
      </c>
      <c r="G11">
        <v>128.65555555555559</v>
      </c>
      <c r="H11">
        <v>11.733333333333331</v>
      </c>
      <c r="I11">
        <v>11.733333333333331</v>
      </c>
      <c r="J11">
        <v>10.3</v>
      </c>
      <c r="K11">
        <v>0.8925925925925926</v>
      </c>
      <c r="L11">
        <v>0.8925925925925926</v>
      </c>
      <c r="M11">
        <v>0.15185185185185179</v>
      </c>
      <c r="N11">
        <v>1.111111111111111E-2</v>
      </c>
      <c r="O11">
        <v>0.162962962962963</v>
      </c>
      <c r="P11">
        <v>128.11111111111109</v>
      </c>
      <c r="Q11" t="s">
        <v>69</v>
      </c>
      <c r="R11">
        <v>30.74074074074074</v>
      </c>
      <c r="S11" t="s">
        <v>70</v>
      </c>
      <c r="T11">
        <v>67.777777777777786</v>
      </c>
      <c r="U11" t="s">
        <v>39</v>
      </c>
      <c r="V11" s="16">
        <v>88.888888888888886</v>
      </c>
      <c r="W11" t="s">
        <v>71</v>
      </c>
      <c r="X11" s="14">
        <v>74.074074074074076</v>
      </c>
      <c r="Y11">
        <v>34737</v>
      </c>
      <c r="Z11">
        <v>3168</v>
      </c>
      <c r="AA11">
        <v>37905</v>
      </c>
      <c r="AB11">
        <v>2364</v>
      </c>
      <c r="AC11">
        <v>241</v>
      </c>
      <c r="AD11">
        <v>2781</v>
      </c>
      <c r="AE11">
        <v>41</v>
      </c>
      <c r="AF11">
        <v>3</v>
      </c>
      <c r="AG11" s="16">
        <v>44</v>
      </c>
      <c r="AH11" s="13">
        <v>141369300000</v>
      </c>
      <c r="AI11" s="13">
        <v>185840291100</v>
      </c>
      <c r="AJ11" s="13">
        <v>44470991100</v>
      </c>
    </row>
    <row r="12" spans="1:36" x14ac:dyDescent="0.35">
      <c r="A12">
        <v>45</v>
      </c>
      <c r="B12" t="s">
        <v>31</v>
      </c>
      <c r="C12" t="s">
        <v>32</v>
      </c>
      <c r="D12">
        <v>138.19962750045451</v>
      </c>
      <c r="E12">
        <v>40771</v>
      </c>
      <c r="F12">
        <v>3393</v>
      </c>
      <c r="G12">
        <v>128.69999999999999</v>
      </c>
      <c r="H12">
        <v>11.75925925925926</v>
      </c>
      <c r="I12">
        <v>11.75925925925926</v>
      </c>
      <c r="J12">
        <v>10.34074074074074</v>
      </c>
      <c r="K12">
        <v>0.78518518518518521</v>
      </c>
      <c r="L12">
        <v>0.78518518518518521</v>
      </c>
      <c r="M12">
        <v>0.18148148148148149</v>
      </c>
      <c r="N12">
        <v>2.222222222222222E-2</v>
      </c>
      <c r="O12">
        <v>0.20370370370370369</v>
      </c>
      <c r="P12">
        <v>128.17037037037039</v>
      </c>
      <c r="Q12" t="s">
        <v>72</v>
      </c>
      <c r="R12" s="14">
        <v>31.111111111111111</v>
      </c>
      <c r="S12" t="s">
        <v>76</v>
      </c>
      <c r="T12" s="14">
        <v>66.666666666666657</v>
      </c>
      <c r="U12" t="s">
        <v>54</v>
      </c>
      <c r="V12" s="17">
        <v>100</v>
      </c>
      <c r="W12" t="s">
        <v>46</v>
      </c>
      <c r="X12" s="18">
        <v>96.296296296296291</v>
      </c>
      <c r="Y12">
        <v>34749</v>
      </c>
      <c r="Z12">
        <v>3175</v>
      </c>
      <c r="AA12">
        <v>37924</v>
      </c>
      <c r="AB12">
        <v>2360</v>
      </c>
      <c r="AC12">
        <v>212</v>
      </c>
      <c r="AD12">
        <v>2792</v>
      </c>
      <c r="AE12">
        <v>49</v>
      </c>
      <c r="AF12">
        <v>6</v>
      </c>
      <c r="AG12" s="17">
        <v>55</v>
      </c>
      <c r="AH12" s="13">
        <v>141369300000</v>
      </c>
      <c r="AI12" s="13">
        <v>195371846000</v>
      </c>
      <c r="AJ12" s="20">
        <v>54002546000</v>
      </c>
    </row>
    <row r="13" spans="1:36" x14ac:dyDescent="0.35">
      <c r="A13">
        <v>43</v>
      </c>
      <c r="B13" t="s">
        <v>31</v>
      </c>
      <c r="C13" t="s">
        <v>32</v>
      </c>
      <c r="D13">
        <v>136.9620354631451</v>
      </c>
      <c r="E13">
        <v>40738</v>
      </c>
      <c r="F13">
        <v>3461</v>
      </c>
      <c r="G13">
        <v>128.33333333333329</v>
      </c>
      <c r="H13">
        <v>11.97777777777778</v>
      </c>
      <c r="I13">
        <v>11.97777777777778</v>
      </c>
      <c r="J13">
        <v>10.37777777777778</v>
      </c>
      <c r="K13">
        <v>0.82222222222222219</v>
      </c>
      <c r="L13">
        <v>0.82222222222222219</v>
      </c>
      <c r="M13">
        <v>0.1740740740740741</v>
      </c>
      <c r="N13">
        <v>1.8518518518518521E-2</v>
      </c>
      <c r="O13">
        <v>0.19259259259259259</v>
      </c>
      <c r="P13">
        <v>127.89259259259261</v>
      </c>
      <c r="Q13" t="s">
        <v>72</v>
      </c>
      <c r="R13">
        <v>31.111111111111111</v>
      </c>
      <c r="S13" t="s">
        <v>81</v>
      </c>
      <c r="T13">
        <v>67.407407407407405</v>
      </c>
      <c r="U13" t="s">
        <v>54</v>
      </c>
      <c r="V13" s="17">
        <v>100</v>
      </c>
      <c r="W13" t="s">
        <v>39</v>
      </c>
      <c r="X13" s="14">
        <v>88.888888888888886</v>
      </c>
      <c r="Y13">
        <v>34650</v>
      </c>
      <c r="Z13">
        <v>3234</v>
      </c>
      <c r="AA13">
        <v>37884</v>
      </c>
      <c r="AB13">
        <v>2372</v>
      </c>
      <c r="AC13">
        <v>222</v>
      </c>
      <c r="AD13">
        <v>2802</v>
      </c>
      <c r="AE13">
        <v>47</v>
      </c>
      <c r="AF13">
        <v>5</v>
      </c>
      <c r="AG13" s="17">
        <v>52</v>
      </c>
      <c r="AH13" s="13">
        <v>141369300000</v>
      </c>
      <c r="AI13" s="13">
        <v>193622270800</v>
      </c>
      <c r="AJ13" s="20">
        <v>52252970800</v>
      </c>
    </row>
    <row r="14" spans="1:36" x14ac:dyDescent="0.35">
      <c r="A14">
        <v>31</v>
      </c>
      <c r="B14" t="s">
        <v>31</v>
      </c>
      <c r="C14" t="s">
        <v>32</v>
      </c>
      <c r="D14">
        <v>136.9543797698652</v>
      </c>
      <c r="E14">
        <v>40771</v>
      </c>
      <c r="F14">
        <v>3348</v>
      </c>
      <c r="G14">
        <v>128.81481481481481</v>
      </c>
      <c r="H14">
        <v>11.64444444444444</v>
      </c>
      <c r="I14">
        <v>11.64444444444444</v>
      </c>
      <c r="J14">
        <v>10.34074074074074</v>
      </c>
      <c r="K14">
        <v>0.74814814814814812</v>
      </c>
      <c r="L14">
        <v>0.74814814814814812</v>
      </c>
      <c r="M14">
        <v>0.1962962962962963</v>
      </c>
      <c r="N14">
        <v>7.4074074074074077E-3</v>
      </c>
      <c r="O14">
        <v>0.20370370370370369</v>
      </c>
      <c r="P14">
        <v>128.34814814814811</v>
      </c>
      <c r="Q14" t="s">
        <v>72</v>
      </c>
      <c r="R14">
        <v>31.111111111111111</v>
      </c>
      <c r="S14" t="s">
        <v>34</v>
      </c>
      <c r="T14">
        <v>65.925925925925924</v>
      </c>
      <c r="U14" t="s">
        <v>35</v>
      </c>
      <c r="V14" s="19">
        <v>92.592592592592595</v>
      </c>
      <c r="W14" t="s">
        <v>47</v>
      </c>
      <c r="X14" s="14">
        <v>85.18518518518519</v>
      </c>
      <c r="Y14">
        <v>34780</v>
      </c>
      <c r="Z14">
        <v>3144</v>
      </c>
      <c r="AA14">
        <v>37924</v>
      </c>
      <c r="AB14">
        <v>2370</v>
      </c>
      <c r="AC14">
        <v>202</v>
      </c>
      <c r="AD14">
        <v>2792</v>
      </c>
      <c r="AE14">
        <v>53</v>
      </c>
      <c r="AF14">
        <v>2</v>
      </c>
      <c r="AG14" s="17">
        <v>55</v>
      </c>
      <c r="AH14" s="13">
        <v>141369300000</v>
      </c>
      <c r="AI14" s="13">
        <v>193611448000</v>
      </c>
      <c r="AJ14" s="20">
        <v>52242148000</v>
      </c>
    </row>
    <row r="15" spans="1:36" x14ac:dyDescent="0.35">
      <c r="A15">
        <v>42</v>
      </c>
      <c r="B15" t="s">
        <v>31</v>
      </c>
      <c r="C15" t="s">
        <v>32</v>
      </c>
      <c r="D15">
        <v>135.01545052567991</v>
      </c>
      <c r="E15">
        <v>40738</v>
      </c>
      <c r="F15">
        <v>3379</v>
      </c>
      <c r="G15">
        <v>128.5703703703704</v>
      </c>
      <c r="H15">
        <v>11.74074074074074</v>
      </c>
      <c r="I15">
        <v>11.74074074074074</v>
      </c>
      <c r="J15">
        <v>10.37777777777778</v>
      </c>
      <c r="K15">
        <v>0.76666666666666672</v>
      </c>
      <c r="L15">
        <v>0.76666666666666672</v>
      </c>
      <c r="M15">
        <v>0.1851851851851852</v>
      </c>
      <c r="N15">
        <v>7.4074074074074077E-3</v>
      </c>
      <c r="O15">
        <v>0.19259259259259259</v>
      </c>
      <c r="P15">
        <v>128.2222222222222</v>
      </c>
      <c r="Q15" t="s">
        <v>72</v>
      </c>
      <c r="R15">
        <v>31.111111111111111</v>
      </c>
      <c r="S15" t="s">
        <v>81</v>
      </c>
      <c r="T15">
        <v>67.407407407407405</v>
      </c>
      <c r="U15" t="s">
        <v>35</v>
      </c>
      <c r="V15" s="19">
        <v>92.592592592592595</v>
      </c>
      <c r="W15" t="s">
        <v>47</v>
      </c>
      <c r="X15" s="16">
        <v>85.18518518518519</v>
      </c>
      <c r="Y15">
        <v>34714</v>
      </c>
      <c r="Z15">
        <v>3170</v>
      </c>
      <c r="AA15">
        <v>37884</v>
      </c>
      <c r="AB15">
        <v>2387</v>
      </c>
      <c r="AC15">
        <v>207</v>
      </c>
      <c r="AD15">
        <v>2802</v>
      </c>
      <c r="AE15">
        <v>50</v>
      </c>
      <c r="AF15">
        <v>2</v>
      </c>
      <c r="AG15" s="17">
        <v>52</v>
      </c>
      <c r="AH15" s="13">
        <v>141369300000</v>
      </c>
      <c r="AI15" s="13">
        <v>190870397300</v>
      </c>
      <c r="AJ15" s="13">
        <v>49501097300</v>
      </c>
    </row>
    <row r="16" spans="1:36" x14ac:dyDescent="0.35">
      <c r="A16">
        <v>10</v>
      </c>
      <c r="B16" t="s">
        <v>31</v>
      </c>
      <c r="C16" t="s">
        <v>32</v>
      </c>
      <c r="D16">
        <v>137.07237809057551</v>
      </c>
      <c r="E16">
        <v>40780</v>
      </c>
      <c r="F16">
        <v>3352</v>
      </c>
      <c r="G16">
        <v>128.93703703703699</v>
      </c>
      <c r="H16">
        <v>11.577777777777779</v>
      </c>
      <c r="I16">
        <v>11.577777777777779</v>
      </c>
      <c r="J16">
        <v>10.32592592592593</v>
      </c>
      <c r="K16">
        <v>0.81481481481481477</v>
      </c>
      <c r="L16">
        <v>0.81481481481481477</v>
      </c>
      <c r="M16">
        <v>0.1740740740740741</v>
      </c>
      <c r="N16">
        <v>2.222222222222222E-2</v>
      </c>
      <c r="O16">
        <v>0.1962962962962963</v>
      </c>
      <c r="P16">
        <v>128.33333333333329</v>
      </c>
      <c r="Q16" t="s">
        <v>33</v>
      </c>
      <c r="R16">
        <v>31.481481481481481</v>
      </c>
      <c r="S16" t="s">
        <v>34</v>
      </c>
      <c r="T16">
        <v>65.925925925925924</v>
      </c>
      <c r="U16" t="s">
        <v>35</v>
      </c>
      <c r="V16" s="19">
        <v>92.592592592592595</v>
      </c>
      <c r="W16" t="s">
        <v>36</v>
      </c>
      <c r="X16">
        <v>81.481481481481481</v>
      </c>
      <c r="Y16">
        <v>34813</v>
      </c>
      <c r="Z16">
        <v>3126</v>
      </c>
      <c r="AA16">
        <v>37939</v>
      </c>
      <c r="AB16">
        <v>2356</v>
      </c>
      <c r="AC16">
        <v>220</v>
      </c>
      <c r="AD16">
        <v>2788</v>
      </c>
      <c r="AE16">
        <v>47</v>
      </c>
      <c r="AF16">
        <v>6</v>
      </c>
      <c r="AG16" s="17">
        <v>53</v>
      </c>
      <c r="AH16" s="13">
        <v>141369300000</v>
      </c>
      <c r="AI16" s="13">
        <v>193778261400</v>
      </c>
      <c r="AJ16" s="20">
        <v>52408961400</v>
      </c>
    </row>
    <row r="17" spans="1:36" x14ac:dyDescent="0.35">
      <c r="A17">
        <v>25</v>
      </c>
      <c r="B17" t="s">
        <v>31</v>
      </c>
      <c r="C17" t="s">
        <v>32</v>
      </c>
      <c r="D17">
        <v>130.80206183379281</v>
      </c>
      <c r="E17">
        <v>40732</v>
      </c>
      <c r="F17">
        <v>3363</v>
      </c>
      <c r="G17">
        <v>128.76666666666671</v>
      </c>
      <c r="H17">
        <v>11.607407407407409</v>
      </c>
      <c r="I17">
        <v>11.607407407407409</v>
      </c>
      <c r="J17">
        <v>10.31851851851852</v>
      </c>
      <c r="K17">
        <v>0.84444444444444444</v>
      </c>
      <c r="L17">
        <v>0.84444444444444444</v>
      </c>
      <c r="M17">
        <v>0.162962962962963</v>
      </c>
      <c r="N17">
        <v>3.7037037037037038E-3</v>
      </c>
      <c r="O17">
        <v>0.16666666666666671</v>
      </c>
      <c r="P17">
        <v>128.2925925925926</v>
      </c>
      <c r="Q17" t="s">
        <v>66</v>
      </c>
      <c r="R17">
        <v>31.851851851851851</v>
      </c>
      <c r="S17" t="s">
        <v>59</v>
      </c>
      <c r="T17">
        <v>65.555555555555557</v>
      </c>
      <c r="U17" t="s">
        <v>35</v>
      </c>
      <c r="V17" s="19">
        <v>92.592592592592595</v>
      </c>
      <c r="W17" t="s">
        <v>36</v>
      </c>
      <c r="X17">
        <v>81.481481481481481</v>
      </c>
      <c r="Y17">
        <v>34767</v>
      </c>
      <c r="Z17">
        <v>3134</v>
      </c>
      <c r="AA17">
        <v>37901</v>
      </c>
      <c r="AB17">
        <v>2378</v>
      </c>
      <c r="AC17">
        <v>228</v>
      </c>
      <c r="AD17">
        <v>2786</v>
      </c>
      <c r="AE17">
        <v>44</v>
      </c>
      <c r="AF17">
        <v>1</v>
      </c>
      <c r="AG17" s="16">
        <v>45</v>
      </c>
      <c r="AH17" s="13">
        <v>141369300000</v>
      </c>
      <c r="AI17" s="13">
        <v>184913959200</v>
      </c>
      <c r="AJ17" s="13">
        <v>43544659200</v>
      </c>
    </row>
    <row r="18" spans="1:36" x14ac:dyDescent="0.35">
      <c r="A18">
        <v>24</v>
      </c>
      <c r="B18" t="s">
        <v>31</v>
      </c>
      <c r="C18" t="s">
        <v>32</v>
      </c>
      <c r="D18">
        <v>124.11728883145069</v>
      </c>
      <c r="E18">
        <v>40671</v>
      </c>
      <c r="F18">
        <v>3419</v>
      </c>
      <c r="G18">
        <v>128.31851851851849</v>
      </c>
      <c r="H18">
        <v>11.84074074074074</v>
      </c>
      <c r="I18">
        <v>11.84074074074074</v>
      </c>
      <c r="J18">
        <v>10.33333333333333</v>
      </c>
      <c r="K18">
        <v>0.82222222222222219</v>
      </c>
      <c r="L18">
        <v>0.82222222222222219</v>
      </c>
      <c r="M18">
        <v>0.14074074074074069</v>
      </c>
      <c r="N18">
        <v>0</v>
      </c>
      <c r="O18">
        <v>0.14074074074074069</v>
      </c>
      <c r="P18">
        <v>128.0851851851852</v>
      </c>
      <c r="Q18" t="s">
        <v>66</v>
      </c>
      <c r="R18">
        <v>31.851851851851851</v>
      </c>
      <c r="S18" t="s">
        <v>59</v>
      </c>
      <c r="T18">
        <v>65.555555555555557</v>
      </c>
      <c r="U18" t="s">
        <v>35</v>
      </c>
      <c r="V18" s="19">
        <v>92.592592592592595</v>
      </c>
      <c r="W18" t="s">
        <v>35</v>
      </c>
      <c r="X18" s="19">
        <v>92.592592592592595</v>
      </c>
      <c r="Y18">
        <v>34646</v>
      </c>
      <c r="Z18">
        <v>3197</v>
      </c>
      <c r="AA18">
        <v>37843</v>
      </c>
      <c r="AB18">
        <v>2416</v>
      </c>
      <c r="AC18">
        <v>222</v>
      </c>
      <c r="AD18">
        <v>2790</v>
      </c>
      <c r="AE18">
        <v>38</v>
      </c>
      <c r="AF18">
        <v>0</v>
      </c>
      <c r="AG18" s="16">
        <v>38</v>
      </c>
      <c r="AH18" s="13">
        <v>141369300000</v>
      </c>
      <c r="AI18" s="13">
        <v>175463742400</v>
      </c>
      <c r="AJ18" s="13">
        <v>34094442400</v>
      </c>
    </row>
    <row r="19" spans="1:36" x14ac:dyDescent="0.35">
      <c r="A19">
        <v>18</v>
      </c>
      <c r="B19" t="s">
        <v>31</v>
      </c>
      <c r="C19" t="s">
        <v>32</v>
      </c>
      <c r="D19">
        <v>131.9139846487179</v>
      </c>
      <c r="E19">
        <v>40715</v>
      </c>
      <c r="F19">
        <v>3314</v>
      </c>
      <c r="G19">
        <v>128.85925925925929</v>
      </c>
      <c r="H19">
        <v>11.4037037037037</v>
      </c>
      <c r="I19">
        <v>11.4037037037037</v>
      </c>
      <c r="J19">
        <v>10.36296296296296</v>
      </c>
      <c r="K19">
        <v>0.85555555555555551</v>
      </c>
      <c r="L19">
        <v>0.85555555555555551</v>
      </c>
      <c r="M19">
        <v>0.15555555555555561</v>
      </c>
      <c r="N19">
        <v>1.4814814814814821E-2</v>
      </c>
      <c r="O19">
        <v>0.17037037037037039</v>
      </c>
      <c r="P19">
        <v>128.47407407407411</v>
      </c>
      <c r="Q19" t="s">
        <v>55</v>
      </c>
      <c r="R19" s="14">
        <v>32.222222222222221</v>
      </c>
      <c r="S19" t="s">
        <v>42</v>
      </c>
      <c r="T19" s="14">
        <v>65.18518518518519</v>
      </c>
      <c r="U19" t="s">
        <v>39</v>
      </c>
      <c r="V19" s="16">
        <v>88.888888888888886</v>
      </c>
      <c r="W19" t="s">
        <v>39</v>
      </c>
      <c r="X19" s="16">
        <v>88.888888888888886</v>
      </c>
      <c r="Y19">
        <v>34792</v>
      </c>
      <c r="Z19">
        <v>3079</v>
      </c>
      <c r="AA19">
        <v>37871</v>
      </c>
      <c r="AB19">
        <v>2383</v>
      </c>
      <c r="AC19">
        <v>231</v>
      </c>
      <c r="AD19">
        <v>2798</v>
      </c>
      <c r="AE19">
        <v>42</v>
      </c>
      <c r="AF19">
        <v>4</v>
      </c>
      <c r="AG19" s="16">
        <v>46</v>
      </c>
      <c r="AH19" s="13">
        <v>141369300000</v>
      </c>
      <c r="AI19" s="13">
        <v>186485876700</v>
      </c>
      <c r="AJ19" s="13">
        <v>45116576700</v>
      </c>
    </row>
    <row r="20" spans="1:36" x14ac:dyDescent="0.35">
      <c r="A20">
        <v>34</v>
      </c>
      <c r="B20" t="s">
        <v>31</v>
      </c>
      <c r="C20" t="s">
        <v>32</v>
      </c>
      <c r="D20">
        <v>129.69486055438909</v>
      </c>
      <c r="E20">
        <v>40752</v>
      </c>
      <c r="F20">
        <v>3420</v>
      </c>
      <c r="G20">
        <v>128.66666666666671</v>
      </c>
      <c r="H20">
        <v>11.796296296296299</v>
      </c>
      <c r="I20">
        <v>11.796296296296299</v>
      </c>
      <c r="J20">
        <v>10.31111111111111</v>
      </c>
      <c r="K20">
        <v>0.86296296296296293</v>
      </c>
      <c r="L20">
        <v>0.86296296296296293</v>
      </c>
      <c r="M20">
        <v>0.15185185185185179</v>
      </c>
      <c r="N20">
        <v>7.4074074074074077E-3</v>
      </c>
      <c r="O20">
        <v>0.15925925925925929</v>
      </c>
      <c r="P20">
        <v>128.1592592592593</v>
      </c>
      <c r="Q20" t="s">
        <v>55</v>
      </c>
      <c r="R20">
        <v>32.222222222222221</v>
      </c>
      <c r="S20" t="s">
        <v>76</v>
      </c>
      <c r="T20">
        <v>66.666666666666657</v>
      </c>
      <c r="U20" t="s">
        <v>46</v>
      </c>
      <c r="V20" s="18">
        <v>96.296296296296291</v>
      </c>
      <c r="W20" t="s">
        <v>39</v>
      </c>
      <c r="X20" s="16">
        <v>88.888888888888886</v>
      </c>
      <c r="Y20">
        <v>34740</v>
      </c>
      <c r="Z20">
        <v>3185</v>
      </c>
      <c r="AA20">
        <v>37925</v>
      </c>
      <c r="AB20">
        <v>2379</v>
      </c>
      <c r="AC20">
        <v>233</v>
      </c>
      <c r="AD20">
        <v>2784</v>
      </c>
      <c r="AE20">
        <v>41</v>
      </c>
      <c r="AF20">
        <v>2</v>
      </c>
      <c r="AG20" s="14">
        <v>43</v>
      </c>
      <c r="AH20" s="13">
        <v>141453000000</v>
      </c>
      <c r="AI20" s="13">
        <v>183457271100</v>
      </c>
      <c r="AJ20" s="13">
        <v>42004271100</v>
      </c>
    </row>
    <row r="21" spans="1:36" x14ac:dyDescent="0.35">
      <c r="A21">
        <v>29</v>
      </c>
      <c r="B21" t="s">
        <v>31</v>
      </c>
      <c r="C21" t="s">
        <v>32</v>
      </c>
      <c r="D21">
        <v>126.93712022341479</v>
      </c>
      <c r="E21">
        <v>40684</v>
      </c>
      <c r="F21">
        <v>3338</v>
      </c>
      <c r="G21">
        <v>128.62222222222221</v>
      </c>
      <c r="H21">
        <v>11.514814814814811</v>
      </c>
      <c r="I21">
        <v>11.514814814814811</v>
      </c>
      <c r="J21">
        <v>10.392592592592591</v>
      </c>
      <c r="K21">
        <v>0.83333333333333337</v>
      </c>
      <c r="L21">
        <v>0.83333333333333337</v>
      </c>
      <c r="M21">
        <v>0.13703703703703701</v>
      </c>
      <c r="N21">
        <v>1.4814814814814821E-2</v>
      </c>
      <c r="O21">
        <v>0.15185185185185179</v>
      </c>
      <c r="P21">
        <v>128.38518518518521</v>
      </c>
      <c r="Q21" t="s">
        <v>68</v>
      </c>
      <c r="R21">
        <v>32.592592592592602</v>
      </c>
      <c r="S21" t="s">
        <v>51</v>
      </c>
      <c r="T21">
        <v>64.81481481481481</v>
      </c>
      <c r="U21" t="s">
        <v>39</v>
      </c>
      <c r="V21" s="16">
        <v>88.888888888888886</v>
      </c>
      <c r="W21" t="s">
        <v>40</v>
      </c>
      <c r="X21">
        <v>77.777777777777786</v>
      </c>
      <c r="Y21">
        <v>34728</v>
      </c>
      <c r="Z21">
        <v>3109</v>
      </c>
      <c r="AA21">
        <v>37837</v>
      </c>
      <c r="AB21">
        <v>2417</v>
      </c>
      <c r="AC21">
        <v>225</v>
      </c>
      <c r="AD21">
        <v>2806</v>
      </c>
      <c r="AE21">
        <v>37</v>
      </c>
      <c r="AF21">
        <v>4</v>
      </c>
      <c r="AG21" s="14">
        <v>41</v>
      </c>
      <c r="AH21" s="13">
        <v>141369300000</v>
      </c>
      <c r="AI21" s="13">
        <v>179450118300</v>
      </c>
      <c r="AJ21" s="13">
        <v>38080818300</v>
      </c>
    </row>
    <row r="22" spans="1:36" x14ac:dyDescent="0.35">
      <c r="A22">
        <v>38</v>
      </c>
      <c r="B22" t="s">
        <v>31</v>
      </c>
      <c r="C22" t="s">
        <v>32</v>
      </c>
      <c r="D22">
        <v>130.87595363831099</v>
      </c>
      <c r="E22">
        <v>40755</v>
      </c>
      <c r="F22">
        <v>3426</v>
      </c>
      <c r="G22">
        <v>128.6037037037037</v>
      </c>
      <c r="H22">
        <v>11.851851851851849</v>
      </c>
      <c r="I22">
        <v>11.851851851851849</v>
      </c>
      <c r="J22">
        <v>10.31851851851852</v>
      </c>
      <c r="K22">
        <v>0.81111111111111112</v>
      </c>
      <c r="L22">
        <v>0.81111111111111112</v>
      </c>
      <c r="M22">
        <v>0.1444444444444444</v>
      </c>
      <c r="N22">
        <v>2.5925925925925929E-2</v>
      </c>
      <c r="O22">
        <v>0.17037037037037039</v>
      </c>
      <c r="P22">
        <v>128.137037037037</v>
      </c>
      <c r="Q22" t="s">
        <v>79</v>
      </c>
      <c r="R22">
        <v>32.962962962962962</v>
      </c>
      <c r="S22" t="s">
        <v>34</v>
      </c>
      <c r="T22">
        <v>65.925925925925924</v>
      </c>
      <c r="U22" t="s">
        <v>35</v>
      </c>
      <c r="V22" s="19">
        <v>92.592592592592595</v>
      </c>
      <c r="W22" t="s">
        <v>39</v>
      </c>
      <c r="X22" s="16">
        <v>88.888888888888886</v>
      </c>
      <c r="Y22">
        <v>34723</v>
      </c>
      <c r="Z22">
        <v>3200</v>
      </c>
      <c r="AA22">
        <v>37923</v>
      </c>
      <c r="AB22">
        <v>2383</v>
      </c>
      <c r="AC22">
        <v>219</v>
      </c>
      <c r="AD22">
        <v>2786</v>
      </c>
      <c r="AE22">
        <v>39</v>
      </c>
      <c r="AF22">
        <v>7</v>
      </c>
      <c r="AG22" s="14">
        <v>46</v>
      </c>
      <c r="AH22" s="13">
        <v>141453000000</v>
      </c>
      <c r="AI22" s="13">
        <v>185127962700</v>
      </c>
      <c r="AJ22" s="13">
        <v>43674962700</v>
      </c>
    </row>
    <row r="23" spans="1:36" x14ac:dyDescent="0.35">
      <c r="A23">
        <v>39</v>
      </c>
      <c r="B23" t="s">
        <v>31</v>
      </c>
      <c r="C23" t="s">
        <v>32</v>
      </c>
      <c r="D23">
        <v>126.5481083469421</v>
      </c>
      <c r="E23">
        <v>40737</v>
      </c>
      <c r="F23">
        <v>3458</v>
      </c>
      <c r="G23">
        <v>128.41851851851851</v>
      </c>
      <c r="H23">
        <v>11.988888888888891</v>
      </c>
      <c r="I23">
        <v>11.988888888888891</v>
      </c>
      <c r="J23">
        <v>10.31851851851852</v>
      </c>
      <c r="K23">
        <v>0.81111111111111112</v>
      </c>
      <c r="L23">
        <v>0.81111111111111112</v>
      </c>
      <c r="M23">
        <v>0.1444444444444444</v>
      </c>
      <c r="N23">
        <v>7.4074074074074077E-3</v>
      </c>
      <c r="O23">
        <v>0.15185185185185179</v>
      </c>
      <c r="P23">
        <v>128.0185185185185</v>
      </c>
      <c r="Q23" t="s">
        <v>79</v>
      </c>
      <c r="R23">
        <v>32.962962962962962</v>
      </c>
      <c r="S23" t="s">
        <v>59</v>
      </c>
      <c r="T23">
        <v>65.555555555555557</v>
      </c>
      <c r="U23" t="s">
        <v>36</v>
      </c>
      <c r="V23" s="16">
        <v>81.481481481481481</v>
      </c>
      <c r="W23" t="s">
        <v>71</v>
      </c>
      <c r="X23">
        <v>74.074074074074076</v>
      </c>
      <c r="Y23">
        <v>34673</v>
      </c>
      <c r="Z23">
        <v>3237</v>
      </c>
      <c r="AA23">
        <v>37910</v>
      </c>
      <c r="AB23">
        <v>2403</v>
      </c>
      <c r="AC23">
        <v>219</v>
      </c>
      <c r="AD23">
        <v>2786</v>
      </c>
      <c r="AE23">
        <v>39</v>
      </c>
      <c r="AF23">
        <v>2</v>
      </c>
      <c r="AG23">
        <v>41</v>
      </c>
      <c r="AH23" s="13">
        <v>141453000000</v>
      </c>
      <c r="AI23" s="13">
        <v>179006095700</v>
      </c>
      <c r="AJ23" s="13">
        <v>37553095700</v>
      </c>
    </row>
    <row r="24" spans="1:36" x14ac:dyDescent="0.35">
      <c r="A24">
        <v>12</v>
      </c>
      <c r="B24" t="s">
        <v>31</v>
      </c>
      <c r="C24" t="s">
        <v>32</v>
      </c>
      <c r="D24">
        <v>135.58581099291001</v>
      </c>
      <c r="E24">
        <v>40777</v>
      </c>
      <c r="F24">
        <v>3411</v>
      </c>
      <c r="G24">
        <v>128.72962962962961</v>
      </c>
      <c r="H24">
        <v>11.80740740740741</v>
      </c>
      <c r="I24">
        <v>11.80740740740741</v>
      </c>
      <c r="J24">
        <v>10.3</v>
      </c>
      <c r="K24">
        <v>0.81851851851851853</v>
      </c>
      <c r="L24">
        <v>0.81851851851851853</v>
      </c>
      <c r="M24">
        <v>0.18148148148148149</v>
      </c>
      <c r="N24">
        <v>7.4074074074074077E-3</v>
      </c>
      <c r="O24">
        <v>0.18888888888888891</v>
      </c>
      <c r="P24">
        <v>128.11481481481479</v>
      </c>
      <c r="Q24" t="s">
        <v>41</v>
      </c>
      <c r="R24">
        <v>33.333333333333329</v>
      </c>
      <c r="S24" t="s">
        <v>42</v>
      </c>
      <c r="T24">
        <v>65.18518518518519</v>
      </c>
      <c r="U24" t="s">
        <v>35</v>
      </c>
      <c r="V24" s="19">
        <v>92.592592592592595</v>
      </c>
      <c r="W24" t="s">
        <v>35</v>
      </c>
      <c r="X24" s="19">
        <v>92.592592592592595</v>
      </c>
      <c r="Y24">
        <v>34757</v>
      </c>
      <c r="Z24">
        <v>3188</v>
      </c>
      <c r="AA24">
        <v>37945</v>
      </c>
      <c r="AB24">
        <v>2356</v>
      </c>
      <c r="AC24">
        <v>221</v>
      </c>
      <c r="AD24">
        <v>2781</v>
      </c>
      <c r="AE24">
        <v>49</v>
      </c>
      <c r="AF24">
        <v>2</v>
      </c>
      <c r="AG24" s="17">
        <v>51</v>
      </c>
      <c r="AH24" s="13">
        <v>141369300000</v>
      </c>
      <c r="AI24" s="13">
        <v>191676711900</v>
      </c>
      <c r="AJ24" s="20">
        <v>50307411900</v>
      </c>
    </row>
    <row r="25" spans="1:36" x14ac:dyDescent="0.35">
      <c r="A25">
        <v>33</v>
      </c>
      <c r="B25" t="s">
        <v>31</v>
      </c>
      <c r="C25" t="s">
        <v>32</v>
      </c>
      <c r="D25">
        <v>133.0172042303804</v>
      </c>
      <c r="E25">
        <v>40788</v>
      </c>
      <c r="F25">
        <v>3325</v>
      </c>
      <c r="G25">
        <v>129.04814814814819</v>
      </c>
      <c r="H25">
        <v>11.50740740740741</v>
      </c>
      <c r="I25">
        <v>11.50740740740741</v>
      </c>
      <c r="J25">
        <v>10.329629629629631</v>
      </c>
      <c r="K25">
        <v>0.8037037037037037</v>
      </c>
      <c r="L25">
        <v>0.8037037037037037</v>
      </c>
      <c r="M25">
        <v>0.17777777777777781</v>
      </c>
      <c r="N25">
        <v>3.7037037037037038E-3</v>
      </c>
      <c r="O25">
        <v>0.18148148148148149</v>
      </c>
      <c r="P25">
        <v>128.51111111111109</v>
      </c>
      <c r="Q25" t="s">
        <v>41</v>
      </c>
      <c r="R25">
        <v>33.333333333333329</v>
      </c>
      <c r="S25" t="s">
        <v>75</v>
      </c>
      <c r="T25">
        <v>64.444444444444443</v>
      </c>
      <c r="U25" t="s">
        <v>46</v>
      </c>
      <c r="V25" s="18">
        <v>96.296296296296291</v>
      </c>
      <c r="W25" t="s">
        <v>35</v>
      </c>
      <c r="X25" s="19">
        <v>92.592592592592595</v>
      </c>
      <c r="Y25">
        <v>34843</v>
      </c>
      <c r="Z25">
        <v>3107</v>
      </c>
      <c r="AA25">
        <v>37950</v>
      </c>
      <c r="AB25">
        <v>2376</v>
      </c>
      <c r="AC25">
        <v>217</v>
      </c>
      <c r="AD25">
        <v>2789</v>
      </c>
      <c r="AE25">
        <v>48</v>
      </c>
      <c r="AF25">
        <v>1</v>
      </c>
      <c r="AG25" s="14">
        <v>49</v>
      </c>
      <c r="AH25" s="13">
        <v>141453000000</v>
      </c>
      <c r="AI25" s="13">
        <v>188156825900</v>
      </c>
      <c r="AJ25" s="13">
        <v>46703825900</v>
      </c>
    </row>
    <row r="26" spans="1:36" x14ac:dyDescent="0.35">
      <c r="A26">
        <v>52</v>
      </c>
      <c r="B26" t="s">
        <v>31</v>
      </c>
      <c r="C26" t="s">
        <v>32</v>
      </c>
      <c r="D26">
        <v>124.8752582066969</v>
      </c>
      <c r="E26">
        <v>40701</v>
      </c>
      <c r="F26">
        <v>3364</v>
      </c>
      <c r="G26">
        <v>128.71851851851849</v>
      </c>
      <c r="H26">
        <v>11.58888888888889</v>
      </c>
      <c r="I26">
        <v>11.58888888888889</v>
      </c>
      <c r="J26">
        <v>10.296296296296299</v>
      </c>
      <c r="K26">
        <v>0.85925925925925928</v>
      </c>
      <c r="L26">
        <v>0.85925925925925928</v>
      </c>
      <c r="M26">
        <v>0.12962962962962959</v>
      </c>
      <c r="N26">
        <v>1.111111111111111E-2</v>
      </c>
      <c r="O26">
        <v>0.14074074074074069</v>
      </c>
      <c r="P26">
        <v>128.28888888888889</v>
      </c>
      <c r="Q26" t="s">
        <v>41</v>
      </c>
      <c r="R26">
        <v>33.333333333333329</v>
      </c>
      <c r="S26" t="s">
        <v>89</v>
      </c>
      <c r="T26">
        <v>64.074074074074076</v>
      </c>
      <c r="U26" t="s">
        <v>35</v>
      </c>
      <c r="V26" s="19">
        <v>92.592592592592595</v>
      </c>
      <c r="W26" t="s">
        <v>47</v>
      </c>
      <c r="X26">
        <v>85.18518518518519</v>
      </c>
      <c r="Y26">
        <v>34754</v>
      </c>
      <c r="Z26">
        <v>3129</v>
      </c>
      <c r="AA26">
        <v>37883</v>
      </c>
      <c r="AB26">
        <v>2396</v>
      </c>
      <c r="AC26">
        <v>232</v>
      </c>
      <c r="AD26">
        <v>2780</v>
      </c>
      <c r="AE26">
        <v>35</v>
      </c>
      <c r="AF26">
        <v>3</v>
      </c>
      <c r="AG26" s="14">
        <v>38</v>
      </c>
      <c r="AH26" s="13">
        <v>141369300000</v>
      </c>
      <c r="AI26" s="13">
        <v>176535278400</v>
      </c>
      <c r="AJ26" s="13">
        <v>35165978400</v>
      </c>
    </row>
    <row r="27" spans="1:36" x14ac:dyDescent="0.35">
      <c r="A27">
        <v>20</v>
      </c>
      <c r="B27" t="s">
        <v>31</v>
      </c>
      <c r="C27" t="s">
        <v>32</v>
      </c>
      <c r="D27">
        <v>138.19172896802911</v>
      </c>
      <c r="E27">
        <v>40771</v>
      </c>
      <c r="F27">
        <v>3411</v>
      </c>
      <c r="G27">
        <v>128.61481481481479</v>
      </c>
      <c r="H27">
        <v>11.84444444444444</v>
      </c>
      <c r="I27">
        <v>11.84444444444444</v>
      </c>
      <c r="J27">
        <v>10.34074074074074</v>
      </c>
      <c r="K27">
        <v>0.78148148148148144</v>
      </c>
      <c r="L27">
        <v>0.78148148148148144</v>
      </c>
      <c r="M27">
        <v>0.1962962962962963</v>
      </c>
      <c r="N27">
        <v>7.4074074074074077E-3</v>
      </c>
      <c r="O27">
        <v>0.20370370370370369</v>
      </c>
      <c r="P27">
        <v>128.11481481481479</v>
      </c>
      <c r="Q27" t="s">
        <v>58</v>
      </c>
      <c r="R27">
        <v>33.703703703703702</v>
      </c>
      <c r="S27" t="s">
        <v>59</v>
      </c>
      <c r="T27">
        <v>65.555555555555557</v>
      </c>
      <c r="U27" t="s">
        <v>54</v>
      </c>
      <c r="V27" s="17">
        <v>100</v>
      </c>
      <c r="W27" t="s">
        <v>54</v>
      </c>
      <c r="X27" s="17">
        <v>100</v>
      </c>
      <c r="Y27">
        <v>34726</v>
      </c>
      <c r="Z27">
        <v>3198</v>
      </c>
      <c r="AA27">
        <v>37924</v>
      </c>
      <c r="AB27">
        <v>2361</v>
      </c>
      <c r="AC27">
        <v>211</v>
      </c>
      <c r="AD27">
        <v>2792</v>
      </c>
      <c r="AE27">
        <v>53</v>
      </c>
      <c r="AF27">
        <v>2</v>
      </c>
      <c r="AG27" s="17">
        <v>55</v>
      </c>
      <c r="AH27" s="13">
        <v>141369300000</v>
      </c>
      <c r="AI27" s="13">
        <v>195360679900</v>
      </c>
      <c r="AJ27" s="20">
        <v>53991379900</v>
      </c>
    </row>
    <row r="28" spans="1:36" x14ac:dyDescent="0.35">
      <c r="A28">
        <v>44</v>
      </c>
      <c r="B28" t="s">
        <v>31</v>
      </c>
      <c r="C28" t="s">
        <v>32</v>
      </c>
      <c r="D28">
        <v>134.38630954528321</v>
      </c>
      <c r="E28">
        <v>40738</v>
      </c>
      <c r="F28">
        <v>3283</v>
      </c>
      <c r="G28">
        <v>128.9296296296296</v>
      </c>
      <c r="H28">
        <v>11.38148148148148</v>
      </c>
      <c r="I28">
        <v>11.38148148148148</v>
      </c>
      <c r="J28">
        <v>10.37777777777778</v>
      </c>
      <c r="K28">
        <v>0.7592592592592593</v>
      </c>
      <c r="L28">
        <v>0.7592592592592593</v>
      </c>
      <c r="M28">
        <v>0.1740740740740741</v>
      </c>
      <c r="N28">
        <v>1.8518518518518521E-2</v>
      </c>
      <c r="O28">
        <v>0.19259259259259259</v>
      </c>
      <c r="P28">
        <v>128.61111111111109</v>
      </c>
      <c r="Q28" t="s">
        <v>58</v>
      </c>
      <c r="R28">
        <v>33.703703703703702</v>
      </c>
      <c r="S28" t="s">
        <v>75</v>
      </c>
      <c r="T28">
        <v>64.444444444444443</v>
      </c>
      <c r="U28" t="s">
        <v>39</v>
      </c>
      <c r="V28" s="16">
        <v>88.888888888888886</v>
      </c>
      <c r="W28" t="s">
        <v>39</v>
      </c>
      <c r="X28">
        <v>88.888888888888886</v>
      </c>
      <c r="Y28">
        <v>34811</v>
      </c>
      <c r="Z28">
        <v>3073</v>
      </c>
      <c r="AA28">
        <v>37884</v>
      </c>
      <c r="AB28">
        <v>2389</v>
      </c>
      <c r="AC28">
        <v>205</v>
      </c>
      <c r="AD28">
        <v>2802</v>
      </c>
      <c r="AE28">
        <v>47</v>
      </c>
      <c r="AF28">
        <v>5</v>
      </c>
      <c r="AG28" s="17">
        <v>52</v>
      </c>
      <c r="AH28" s="13">
        <v>141369300000</v>
      </c>
      <c r="AI28" s="13">
        <v>189980985100</v>
      </c>
      <c r="AJ28" s="13">
        <v>48611685100</v>
      </c>
    </row>
    <row r="29" spans="1:36" x14ac:dyDescent="0.35">
      <c r="A29">
        <v>27</v>
      </c>
      <c r="B29" t="s">
        <v>31</v>
      </c>
      <c r="C29" t="s">
        <v>32</v>
      </c>
      <c r="D29">
        <v>134.1387439139898</v>
      </c>
      <c r="E29">
        <v>40740</v>
      </c>
      <c r="F29">
        <v>3322</v>
      </c>
      <c r="G29">
        <v>128.78518518518521</v>
      </c>
      <c r="H29">
        <v>11.525925925925931</v>
      </c>
      <c r="I29">
        <v>11.525925925925931</v>
      </c>
      <c r="J29">
        <v>10.388888888888889</v>
      </c>
      <c r="K29">
        <v>0.77407407407407403</v>
      </c>
      <c r="L29">
        <v>0.77407407407407403</v>
      </c>
      <c r="M29">
        <v>0.1851851851851852</v>
      </c>
      <c r="N29">
        <v>3.7037037037037038E-3</v>
      </c>
      <c r="O29">
        <v>0.18888888888888891</v>
      </c>
      <c r="P29">
        <v>128.44444444444451</v>
      </c>
      <c r="Q29" t="s">
        <v>58</v>
      </c>
      <c r="R29">
        <v>33.703703703703702</v>
      </c>
      <c r="S29" t="s">
        <v>44</v>
      </c>
      <c r="T29">
        <v>62.962962962962962</v>
      </c>
      <c r="U29" t="s">
        <v>54</v>
      </c>
      <c r="V29" s="17">
        <v>100</v>
      </c>
      <c r="W29" t="s">
        <v>54</v>
      </c>
      <c r="X29" s="17">
        <v>100</v>
      </c>
      <c r="Y29">
        <v>34772</v>
      </c>
      <c r="Z29">
        <v>3112</v>
      </c>
      <c r="AA29">
        <v>37884</v>
      </c>
      <c r="AB29">
        <v>2392</v>
      </c>
      <c r="AC29">
        <v>209</v>
      </c>
      <c r="AD29">
        <v>2805</v>
      </c>
      <c r="AE29">
        <v>50</v>
      </c>
      <c r="AF29">
        <v>1</v>
      </c>
      <c r="AG29" s="17">
        <v>51</v>
      </c>
      <c r="AH29" s="13">
        <v>141369300000</v>
      </c>
      <c r="AI29" s="13">
        <v>189631003300</v>
      </c>
      <c r="AJ29" s="13">
        <v>48261703300</v>
      </c>
    </row>
    <row r="30" spans="1:36" x14ac:dyDescent="0.35">
      <c r="A30">
        <v>36</v>
      </c>
      <c r="B30" t="s">
        <v>31</v>
      </c>
      <c r="C30" t="s">
        <v>32</v>
      </c>
      <c r="D30">
        <v>133.0426598940991</v>
      </c>
      <c r="E30">
        <v>40773</v>
      </c>
      <c r="F30">
        <v>3382</v>
      </c>
      <c r="G30">
        <v>128.77407407407409</v>
      </c>
      <c r="H30">
        <v>11.707407407407411</v>
      </c>
      <c r="I30">
        <v>11.707407407407411</v>
      </c>
      <c r="J30">
        <v>10.34814814814815</v>
      </c>
      <c r="K30">
        <v>0.79629629629629628</v>
      </c>
      <c r="L30">
        <v>0.79629629629629628</v>
      </c>
      <c r="M30">
        <v>0.15925925925925929</v>
      </c>
      <c r="N30">
        <v>2.222222222222222E-2</v>
      </c>
      <c r="O30">
        <v>0.18148148148148149</v>
      </c>
      <c r="P30">
        <v>128.30000000000001</v>
      </c>
      <c r="Q30" t="s">
        <v>58</v>
      </c>
      <c r="R30" s="14">
        <v>33.703703703703702</v>
      </c>
      <c r="S30" t="s">
        <v>75</v>
      </c>
      <c r="T30" s="14">
        <v>64.444444444444443</v>
      </c>
      <c r="U30" t="s">
        <v>46</v>
      </c>
      <c r="V30" s="18">
        <v>96.296296296296291</v>
      </c>
      <c r="W30" t="s">
        <v>35</v>
      </c>
      <c r="X30" s="19">
        <v>92.592592592592595</v>
      </c>
      <c r="Y30">
        <v>34769</v>
      </c>
      <c r="Z30">
        <v>3161</v>
      </c>
      <c r="AA30">
        <v>37930</v>
      </c>
      <c r="AB30">
        <v>2383</v>
      </c>
      <c r="AC30">
        <v>215</v>
      </c>
      <c r="AD30">
        <v>2794</v>
      </c>
      <c r="AE30">
        <v>43</v>
      </c>
      <c r="AF30">
        <v>6</v>
      </c>
      <c r="AG30" s="14">
        <v>49</v>
      </c>
      <c r="AH30" s="13">
        <v>141453000000</v>
      </c>
      <c r="AI30" s="13">
        <v>188192833700</v>
      </c>
      <c r="AJ30" s="13">
        <v>46739833700</v>
      </c>
    </row>
    <row r="31" spans="1:36" x14ac:dyDescent="0.35">
      <c r="A31">
        <v>23</v>
      </c>
      <c r="B31" t="s">
        <v>31</v>
      </c>
      <c r="C31" t="s">
        <v>32</v>
      </c>
      <c r="D31">
        <v>123.5907913528609</v>
      </c>
      <c r="E31">
        <v>40670</v>
      </c>
      <c r="F31">
        <v>3413</v>
      </c>
      <c r="G31">
        <v>128.37407407407409</v>
      </c>
      <c r="H31">
        <v>11.792592592592589</v>
      </c>
      <c r="I31">
        <v>11.792592592592589</v>
      </c>
      <c r="J31">
        <v>10.32592592592593</v>
      </c>
      <c r="K31">
        <v>0.83703703703703702</v>
      </c>
      <c r="L31">
        <v>0.83703703703703702</v>
      </c>
      <c r="M31">
        <v>0.12592592592592591</v>
      </c>
      <c r="N31">
        <v>1.111111111111111E-2</v>
      </c>
      <c r="O31">
        <v>0.13703703703703701</v>
      </c>
      <c r="P31">
        <v>128.10740740740741</v>
      </c>
      <c r="Q31" t="s">
        <v>58</v>
      </c>
      <c r="R31">
        <v>33.703703703703702</v>
      </c>
      <c r="S31" t="s">
        <v>59</v>
      </c>
      <c r="T31">
        <v>65.555555555555557</v>
      </c>
      <c r="U31" t="s">
        <v>35</v>
      </c>
      <c r="V31" s="19">
        <v>92.592592592592595</v>
      </c>
      <c r="W31" t="s">
        <v>65</v>
      </c>
      <c r="X31">
        <v>70.370370370370367</v>
      </c>
      <c r="Y31">
        <v>34661</v>
      </c>
      <c r="Z31">
        <v>3184</v>
      </c>
      <c r="AA31">
        <v>37845</v>
      </c>
      <c r="AB31">
        <v>2414</v>
      </c>
      <c r="AC31">
        <v>226</v>
      </c>
      <c r="AD31">
        <v>2788</v>
      </c>
      <c r="AE31">
        <v>34</v>
      </c>
      <c r="AF31">
        <v>3</v>
      </c>
      <c r="AG31" s="14">
        <v>37</v>
      </c>
      <c r="AH31" s="13">
        <v>141369300000</v>
      </c>
      <c r="AI31" s="13">
        <v>174719436600</v>
      </c>
      <c r="AJ31" s="13">
        <v>33350136600</v>
      </c>
    </row>
    <row r="32" spans="1:36" x14ac:dyDescent="0.35">
      <c r="A32">
        <v>49</v>
      </c>
      <c r="B32" t="s">
        <v>31</v>
      </c>
      <c r="C32" t="s">
        <v>32</v>
      </c>
      <c r="D32">
        <v>137.4216820766602</v>
      </c>
      <c r="E32">
        <v>40801</v>
      </c>
      <c r="F32">
        <v>3370</v>
      </c>
      <c r="G32">
        <v>128.88888888888891</v>
      </c>
      <c r="H32">
        <v>11.703703703703701</v>
      </c>
      <c r="I32">
        <v>11.703703703703701</v>
      </c>
      <c r="J32">
        <v>10.31851851851852</v>
      </c>
      <c r="K32">
        <v>0.76296296296296295</v>
      </c>
      <c r="L32">
        <v>0.76296296296296295</v>
      </c>
      <c r="M32">
        <v>0.18888888888888891</v>
      </c>
      <c r="N32">
        <v>1.4814814814814821E-2</v>
      </c>
      <c r="O32">
        <v>0.20370370370370369</v>
      </c>
      <c r="P32">
        <v>128.28148148148151</v>
      </c>
      <c r="Q32" t="s">
        <v>50</v>
      </c>
      <c r="R32" s="14">
        <v>34.074074074074083</v>
      </c>
      <c r="S32" t="s">
        <v>87</v>
      </c>
      <c r="T32" s="14">
        <v>63.703703703703709</v>
      </c>
      <c r="U32" t="s">
        <v>39</v>
      </c>
      <c r="V32" s="16">
        <v>88.888888888888886</v>
      </c>
      <c r="W32" t="s">
        <v>47</v>
      </c>
      <c r="X32">
        <v>85.18518518518519</v>
      </c>
      <c r="Y32">
        <v>34800</v>
      </c>
      <c r="Z32">
        <v>3160</v>
      </c>
      <c r="AA32">
        <v>37960</v>
      </c>
      <c r="AB32">
        <v>2360</v>
      </c>
      <c r="AC32">
        <v>206</v>
      </c>
      <c r="AD32">
        <v>2786</v>
      </c>
      <c r="AE32">
        <v>51</v>
      </c>
      <c r="AF32">
        <v>4</v>
      </c>
      <c r="AG32" s="17">
        <v>55</v>
      </c>
      <c r="AH32" s="13">
        <v>141369300000</v>
      </c>
      <c r="AI32" s="13">
        <v>194272070000</v>
      </c>
      <c r="AJ32" s="20">
        <v>52902770000</v>
      </c>
    </row>
    <row r="33" spans="1:36" x14ac:dyDescent="0.35">
      <c r="A33">
        <v>16</v>
      </c>
      <c r="B33" t="s">
        <v>31</v>
      </c>
      <c r="C33" t="s">
        <v>32</v>
      </c>
      <c r="D33">
        <v>132.21053559719121</v>
      </c>
      <c r="E33">
        <v>40737</v>
      </c>
      <c r="F33">
        <v>3403</v>
      </c>
      <c r="G33">
        <v>128.59629629629629</v>
      </c>
      <c r="H33">
        <v>11.78888888888889</v>
      </c>
      <c r="I33">
        <v>11.78888888888889</v>
      </c>
      <c r="J33">
        <v>10.31481481481481</v>
      </c>
      <c r="K33">
        <v>0.79629629629629628</v>
      </c>
      <c r="L33">
        <v>0.79629629629629628</v>
      </c>
      <c r="M33">
        <v>0.15925925925925929</v>
      </c>
      <c r="N33">
        <v>1.8518518518518521E-2</v>
      </c>
      <c r="O33">
        <v>0.17777777777777781</v>
      </c>
      <c r="P33">
        <v>128.14444444444439</v>
      </c>
      <c r="Q33" t="s">
        <v>50</v>
      </c>
      <c r="R33" s="14">
        <v>34.074074074074083</v>
      </c>
      <c r="S33" t="s">
        <v>51</v>
      </c>
      <c r="T33" s="14">
        <v>64.81481481481481</v>
      </c>
      <c r="U33" t="s">
        <v>35</v>
      </c>
      <c r="V33" s="19">
        <v>92.592592592592595</v>
      </c>
      <c r="W33" t="s">
        <v>39</v>
      </c>
      <c r="X33" s="16">
        <v>88.888888888888886</v>
      </c>
      <c r="Y33">
        <v>34721</v>
      </c>
      <c r="Z33">
        <v>3183</v>
      </c>
      <c r="AA33">
        <v>37904</v>
      </c>
      <c r="AB33">
        <v>2378</v>
      </c>
      <c r="AC33">
        <v>215</v>
      </c>
      <c r="AD33">
        <v>2785</v>
      </c>
      <c r="AE33">
        <v>43</v>
      </c>
      <c r="AF33">
        <v>5</v>
      </c>
      <c r="AG33" s="14">
        <v>48</v>
      </c>
      <c r="AH33" s="13">
        <v>141369300000</v>
      </c>
      <c r="AI33" s="13">
        <v>186905108700</v>
      </c>
      <c r="AJ33" s="13">
        <v>45535808700</v>
      </c>
    </row>
    <row r="34" spans="1:36" x14ac:dyDescent="0.35">
      <c r="A34">
        <v>14</v>
      </c>
      <c r="B34" t="s">
        <v>31</v>
      </c>
      <c r="C34" t="s">
        <v>32</v>
      </c>
      <c r="D34">
        <v>130.43550537492939</v>
      </c>
      <c r="E34">
        <v>40707</v>
      </c>
      <c r="F34">
        <v>3470</v>
      </c>
      <c r="G34">
        <v>128.28888888888889</v>
      </c>
      <c r="H34">
        <v>11.9962962962963</v>
      </c>
      <c r="I34">
        <v>11.9962962962963</v>
      </c>
      <c r="J34">
        <v>10.31851851851852</v>
      </c>
      <c r="K34">
        <v>0.8481481481481481</v>
      </c>
      <c r="L34">
        <v>0.8481481481481481</v>
      </c>
      <c r="M34">
        <v>0.15555555555555561</v>
      </c>
      <c r="N34">
        <v>7.4074074074074077E-3</v>
      </c>
      <c r="O34">
        <v>0.162962962962963</v>
      </c>
      <c r="P34">
        <v>127.8962962962963</v>
      </c>
      <c r="Q34" t="s">
        <v>45</v>
      </c>
      <c r="R34">
        <v>34.444444444444443</v>
      </c>
      <c r="S34" t="s">
        <v>44</v>
      </c>
      <c r="T34">
        <v>62.962962962962962</v>
      </c>
      <c r="U34" t="s">
        <v>46</v>
      </c>
      <c r="V34" s="18">
        <v>96.296296296296291</v>
      </c>
      <c r="W34" t="s">
        <v>47</v>
      </c>
      <c r="X34" s="16">
        <v>85.18518518518519</v>
      </c>
      <c r="Y34">
        <v>34638</v>
      </c>
      <c r="Z34">
        <v>3239</v>
      </c>
      <c r="AA34">
        <v>37877</v>
      </c>
      <c r="AB34">
        <v>2381</v>
      </c>
      <c r="AC34">
        <v>229</v>
      </c>
      <c r="AD34">
        <v>2786</v>
      </c>
      <c r="AE34">
        <v>42</v>
      </c>
      <c r="AF34">
        <v>2</v>
      </c>
      <c r="AG34">
        <v>44</v>
      </c>
      <c r="AH34" s="13">
        <v>141369300000</v>
      </c>
      <c r="AI34" s="13">
        <v>184395760900</v>
      </c>
      <c r="AJ34" s="13">
        <v>43026460900</v>
      </c>
    </row>
    <row r="35" spans="1:36" x14ac:dyDescent="0.35">
      <c r="A35">
        <v>28</v>
      </c>
      <c r="B35" t="s">
        <v>31</v>
      </c>
      <c r="C35" t="s">
        <v>32</v>
      </c>
      <c r="D35">
        <v>129.30531876439929</v>
      </c>
      <c r="E35">
        <v>40733</v>
      </c>
      <c r="F35">
        <v>3334</v>
      </c>
      <c r="G35">
        <v>128.72592592592591</v>
      </c>
      <c r="H35">
        <v>11.607407407407409</v>
      </c>
      <c r="I35">
        <v>11.607407407407409</v>
      </c>
      <c r="J35">
        <v>10.35555555555556</v>
      </c>
      <c r="K35">
        <v>0.73333333333333328</v>
      </c>
      <c r="L35">
        <v>0.73333333333333328</v>
      </c>
      <c r="M35">
        <v>0.16666666666666671</v>
      </c>
      <c r="N35">
        <v>7.4074074074074077E-3</v>
      </c>
      <c r="O35">
        <v>0.1740740740740741</v>
      </c>
      <c r="P35">
        <v>128.4</v>
      </c>
      <c r="Q35" t="s">
        <v>45</v>
      </c>
      <c r="R35">
        <v>34.444444444444443</v>
      </c>
      <c r="S35" t="s">
        <v>38</v>
      </c>
      <c r="T35">
        <v>62.222222222222221</v>
      </c>
      <c r="U35" t="s">
        <v>46</v>
      </c>
      <c r="V35" s="18">
        <v>96.296296296296291</v>
      </c>
      <c r="W35" t="s">
        <v>39</v>
      </c>
      <c r="X35">
        <v>88.888888888888886</v>
      </c>
      <c r="Y35">
        <v>34756</v>
      </c>
      <c r="Z35">
        <v>3134</v>
      </c>
      <c r="AA35">
        <v>37890</v>
      </c>
      <c r="AB35">
        <v>2410</v>
      </c>
      <c r="AC35">
        <v>198</v>
      </c>
      <c r="AD35">
        <v>2796</v>
      </c>
      <c r="AE35">
        <v>45</v>
      </c>
      <c r="AF35">
        <v>2</v>
      </c>
      <c r="AG35">
        <v>47</v>
      </c>
      <c r="AH35" s="13">
        <v>141369300000</v>
      </c>
      <c r="AI35" s="13">
        <v>182798024000</v>
      </c>
      <c r="AJ35" s="13">
        <v>41428724000</v>
      </c>
    </row>
    <row r="36" spans="1:36" x14ac:dyDescent="0.35">
      <c r="A36">
        <v>35</v>
      </c>
      <c r="B36" t="s">
        <v>31</v>
      </c>
      <c r="C36" t="s">
        <v>32</v>
      </c>
      <c r="D36">
        <v>127.00580383590309</v>
      </c>
      <c r="E36">
        <v>40759</v>
      </c>
      <c r="F36">
        <v>3357</v>
      </c>
      <c r="G36">
        <v>128.862962962963</v>
      </c>
      <c r="H36">
        <v>11.63703703703704</v>
      </c>
      <c r="I36">
        <v>11.63703703703704</v>
      </c>
      <c r="J36">
        <v>10.3</v>
      </c>
      <c r="K36">
        <v>0.78148148148148144</v>
      </c>
      <c r="L36">
        <v>0.78148148148148144</v>
      </c>
      <c r="M36">
        <v>0.1444444444444444</v>
      </c>
      <c r="N36">
        <v>1.4814814814814821E-2</v>
      </c>
      <c r="O36">
        <v>0.15925925925925929</v>
      </c>
      <c r="P36">
        <v>128.39259259259259</v>
      </c>
      <c r="Q36" t="s">
        <v>77</v>
      </c>
      <c r="R36">
        <v>34.814814814814817</v>
      </c>
      <c r="S36" t="s">
        <v>75</v>
      </c>
      <c r="T36">
        <v>64.444444444444443</v>
      </c>
      <c r="U36" t="s">
        <v>46</v>
      </c>
      <c r="V36" s="18">
        <v>96.296296296296291</v>
      </c>
      <c r="W36" t="s">
        <v>35</v>
      </c>
      <c r="X36" s="19">
        <v>92.592592592592595</v>
      </c>
      <c r="Y36">
        <v>34793</v>
      </c>
      <c r="Z36">
        <v>3142</v>
      </c>
      <c r="AA36">
        <v>37935</v>
      </c>
      <c r="AB36">
        <v>2398</v>
      </c>
      <c r="AC36">
        <v>211</v>
      </c>
      <c r="AD36">
        <v>2781</v>
      </c>
      <c r="AE36">
        <v>39</v>
      </c>
      <c r="AF36">
        <v>4</v>
      </c>
      <c r="AG36">
        <v>43</v>
      </c>
      <c r="AH36" s="13">
        <v>141453000000</v>
      </c>
      <c r="AI36" s="13">
        <v>179653519700</v>
      </c>
      <c r="AJ36" s="13">
        <v>38200519700</v>
      </c>
    </row>
    <row r="37" spans="1:36" x14ac:dyDescent="0.35">
      <c r="A37">
        <v>26</v>
      </c>
      <c r="B37" t="s">
        <v>31</v>
      </c>
      <c r="C37" t="s">
        <v>32</v>
      </c>
      <c r="D37">
        <v>133.03770415500401</v>
      </c>
      <c r="E37">
        <v>40727</v>
      </c>
      <c r="F37">
        <v>3298</v>
      </c>
      <c r="G37">
        <v>128.9148148148148</v>
      </c>
      <c r="H37">
        <v>11.37407407407407</v>
      </c>
      <c r="I37">
        <v>11.37407407407407</v>
      </c>
      <c r="J37">
        <v>10.37407407407407</v>
      </c>
      <c r="K37">
        <v>0.83333333333333337</v>
      </c>
      <c r="L37">
        <v>0.83333333333333337</v>
      </c>
      <c r="M37">
        <v>0.17037037037037039</v>
      </c>
      <c r="N37">
        <v>7.4074074074074077E-3</v>
      </c>
      <c r="O37">
        <v>0.17777777777777781</v>
      </c>
      <c r="P37">
        <v>128.5333333333333</v>
      </c>
      <c r="Q37" t="s">
        <v>43</v>
      </c>
      <c r="R37">
        <v>35.185185185185183</v>
      </c>
      <c r="S37" t="s">
        <v>67</v>
      </c>
      <c r="T37">
        <v>61.481481481481481</v>
      </c>
      <c r="U37" t="s">
        <v>46</v>
      </c>
      <c r="V37" s="18">
        <v>96.296296296296291</v>
      </c>
      <c r="W37" t="s">
        <v>47</v>
      </c>
      <c r="X37">
        <v>85.18518518518519</v>
      </c>
      <c r="Y37">
        <v>34807</v>
      </c>
      <c r="Z37">
        <v>3071</v>
      </c>
      <c r="AA37">
        <v>37878</v>
      </c>
      <c r="AB37">
        <v>2384</v>
      </c>
      <c r="AC37">
        <v>225</v>
      </c>
      <c r="AD37">
        <v>2801</v>
      </c>
      <c r="AE37">
        <v>46</v>
      </c>
      <c r="AF37">
        <v>2</v>
      </c>
      <c r="AG37">
        <v>48</v>
      </c>
      <c r="AH37" s="13">
        <v>141369300000</v>
      </c>
      <c r="AI37" s="13">
        <v>188074471100</v>
      </c>
      <c r="AJ37" s="13">
        <v>46705171100</v>
      </c>
    </row>
    <row r="38" spans="1:36" x14ac:dyDescent="0.35">
      <c r="A38">
        <v>13</v>
      </c>
      <c r="B38" t="s">
        <v>31</v>
      </c>
      <c r="C38" t="s">
        <v>32</v>
      </c>
      <c r="D38">
        <v>129.28038824553849</v>
      </c>
      <c r="E38">
        <v>40743</v>
      </c>
      <c r="F38">
        <v>3419</v>
      </c>
      <c r="G38">
        <v>128.6185185185185</v>
      </c>
      <c r="H38">
        <v>11.829629629629631</v>
      </c>
      <c r="I38">
        <v>11.829629629629631</v>
      </c>
      <c r="J38">
        <v>10.28888888888889</v>
      </c>
      <c r="K38">
        <v>0.81851851851851853</v>
      </c>
      <c r="L38">
        <v>0.81851851851851853</v>
      </c>
      <c r="M38">
        <v>0.14814814814814811</v>
      </c>
      <c r="N38">
        <v>1.4814814814814821E-2</v>
      </c>
      <c r="O38">
        <v>0.162962962962963</v>
      </c>
      <c r="P38">
        <v>128.0851851851852</v>
      </c>
      <c r="Q38" t="s">
        <v>43</v>
      </c>
      <c r="R38">
        <v>35.185185185185183</v>
      </c>
      <c r="S38" t="s">
        <v>44</v>
      </c>
      <c r="T38">
        <v>62.962962962962962</v>
      </c>
      <c r="U38" t="s">
        <v>35</v>
      </c>
      <c r="V38" s="19">
        <v>92.592592592592595</v>
      </c>
      <c r="W38" t="s">
        <v>40</v>
      </c>
      <c r="X38">
        <v>77.777777777777786</v>
      </c>
      <c r="Y38">
        <v>34727</v>
      </c>
      <c r="Z38">
        <v>3194</v>
      </c>
      <c r="AA38">
        <v>37921</v>
      </c>
      <c r="AB38">
        <v>2381</v>
      </c>
      <c r="AC38">
        <v>221</v>
      </c>
      <c r="AD38">
        <v>2778</v>
      </c>
      <c r="AE38">
        <v>40</v>
      </c>
      <c r="AF38">
        <v>4</v>
      </c>
      <c r="AG38" s="14">
        <v>44</v>
      </c>
      <c r="AH38" s="13">
        <v>141369300000</v>
      </c>
      <c r="AI38" s="13">
        <v>182762779900</v>
      </c>
      <c r="AJ38" s="13">
        <v>41393479900</v>
      </c>
    </row>
    <row r="39" spans="1:36" x14ac:dyDescent="0.35">
      <c r="A39">
        <v>22</v>
      </c>
      <c r="B39" t="s">
        <v>31</v>
      </c>
      <c r="C39" t="s">
        <v>32</v>
      </c>
      <c r="D39">
        <v>124.2354350626338</v>
      </c>
      <c r="E39">
        <v>40635</v>
      </c>
      <c r="F39">
        <v>3414</v>
      </c>
      <c r="G39">
        <v>128.07777777777781</v>
      </c>
      <c r="H39">
        <v>11.851851851851849</v>
      </c>
      <c r="I39">
        <v>11.851851851851849</v>
      </c>
      <c r="J39">
        <v>10.425925925925929</v>
      </c>
      <c r="K39">
        <v>0.78888888888888886</v>
      </c>
      <c r="L39">
        <v>0.78888888888888886</v>
      </c>
      <c r="M39">
        <v>0.14074074074074069</v>
      </c>
      <c r="N39">
        <v>3.7037037037037038E-3</v>
      </c>
      <c r="O39">
        <v>0.1444444444444444</v>
      </c>
      <c r="P39">
        <v>128.1037037037037</v>
      </c>
      <c r="Q39" t="s">
        <v>63</v>
      </c>
      <c r="R39">
        <v>35.555555555555557</v>
      </c>
      <c r="S39" t="s">
        <v>64</v>
      </c>
      <c r="T39">
        <v>63.333333333333329</v>
      </c>
      <c r="U39" t="s">
        <v>36</v>
      </c>
      <c r="V39">
        <v>81.481481481481481</v>
      </c>
      <c r="W39" t="s">
        <v>65</v>
      </c>
      <c r="X39">
        <v>70.370370370370367</v>
      </c>
      <c r="Y39">
        <v>34581</v>
      </c>
      <c r="Z39">
        <v>3200</v>
      </c>
      <c r="AA39">
        <v>37781</v>
      </c>
      <c r="AB39">
        <v>2446</v>
      </c>
      <c r="AC39">
        <v>213</v>
      </c>
      <c r="AD39">
        <v>2815</v>
      </c>
      <c r="AE39">
        <v>38</v>
      </c>
      <c r="AF39">
        <v>1</v>
      </c>
      <c r="AG39" s="14">
        <v>39</v>
      </c>
      <c r="AH39" s="13">
        <v>141369300000</v>
      </c>
      <c r="AI39" s="13">
        <v>175630764900</v>
      </c>
      <c r="AJ39" s="13">
        <v>34261464900</v>
      </c>
    </row>
    <row r="40" spans="1:36" x14ac:dyDescent="0.35">
      <c r="A40">
        <v>37</v>
      </c>
      <c r="B40" t="s">
        <v>31</v>
      </c>
      <c r="C40" t="s">
        <v>32</v>
      </c>
      <c r="D40">
        <v>124.87318254119739</v>
      </c>
      <c r="E40">
        <v>40718</v>
      </c>
      <c r="F40">
        <v>3381</v>
      </c>
      <c r="G40">
        <v>128.6333333333333</v>
      </c>
      <c r="H40">
        <v>11.707407407407411</v>
      </c>
      <c r="I40">
        <v>11.707407407407411</v>
      </c>
      <c r="J40">
        <v>10.31851851851852</v>
      </c>
      <c r="K40">
        <v>0.79629629629629628</v>
      </c>
      <c r="L40">
        <v>0.79629629629629628</v>
      </c>
      <c r="M40">
        <v>0.12962962962962959</v>
      </c>
      <c r="N40">
        <v>1.8518518518518521E-2</v>
      </c>
      <c r="O40">
        <v>0.14814814814814811</v>
      </c>
      <c r="P40">
        <v>128.30370370370369</v>
      </c>
      <c r="Q40" t="s">
        <v>37</v>
      </c>
      <c r="R40">
        <v>37.037037037037038</v>
      </c>
      <c r="S40" t="s">
        <v>78</v>
      </c>
      <c r="T40">
        <v>62.592592592592588</v>
      </c>
      <c r="U40" t="s">
        <v>39</v>
      </c>
      <c r="V40" s="16">
        <v>88.888888888888886</v>
      </c>
      <c r="W40" t="s">
        <v>40</v>
      </c>
      <c r="X40" s="16">
        <v>77.777777777777786</v>
      </c>
      <c r="Y40">
        <v>34731</v>
      </c>
      <c r="Z40">
        <v>3161</v>
      </c>
      <c r="AA40">
        <v>37892</v>
      </c>
      <c r="AB40">
        <v>2411</v>
      </c>
      <c r="AC40">
        <v>215</v>
      </c>
      <c r="AD40">
        <v>2786</v>
      </c>
      <c r="AE40">
        <v>35</v>
      </c>
      <c r="AF40">
        <v>5</v>
      </c>
      <c r="AG40">
        <v>40</v>
      </c>
      <c r="AH40" s="13">
        <v>141453000000</v>
      </c>
      <c r="AI40" s="13">
        <v>176636862900</v>
      </c>
      <c r="AJ40" s="13">
        <v>35183862900</v>
      </c>
    </row>
    <row r="41" spans="1:36" x14ac:dyDescent="0.35">
      <c r="A41">
        <v>51</v>
      </c>
      <c r="B41" t="s">
        <v>31</v>
      </c>
      <c r="C41" t="s">
        <v>32</v>
      </c>
      <c r="D41">
        <v>123.96480721061791</v>
      </c>
      <c r="E41">
        <v>40714</v>
      </c>
      <c r="F41">
        <v>3452</v>
      </c>
      <c r="G41">
        <v>128.3407407407407</v>
      </c>
      <c r="H41">
        <v>12.018518518518521</v>
      </c>
      <c r="I41">
        <v>12.018518518518521</v>
      </c>
      <c r="J41">
        <v>10.285185185185179</v>
      </c>
      <c r="K41">
        <v>0.75555555555555554</v>
      </c>
      <c r="L41">
        <v>0.75555555555555554</v>
      </c>
      <c r="M41">
        <v>0.13703703703703701</v>
      </c>
      <c r="N41">
        <v>1.111111111111111E-2</v>
      </c>
      <c r="O41">
        <v>0.14814814814814811</v>
      </c>
      <c r="P41">
        <v>128.01111111111109</v>
      </c>
      <c r="Q41" t="s">
        <v>37</v>
      </c>
      <c r="R41">
        <v>37.037037037037038</v>
      </c>
      <c r="S41" t="s">
        <v>88</v>
      </c>
      <c r="T41">
        <v>60</v>
      </c>
      <c r="U41" t="s">
        <v>46</v>
      </c>
      <c r="V41" s="18">
        <v>96.296296296296291</v>
      </c>
      <c r="W41" t="s">
        <v>40</v>
      </c>
      <c r="X41">
        <v>77.777777777777786</v>
      </c>
      <c r="Y41">
        <v>34652</v>
      </c>
      <c r="Z41">
        <v>3245</v>
      </c>
      <c r="AA41">
        <v>37897</v>
      </c>
      <c r="AB41">
        <v>2413</v>
      </c>
      <c r="AC41">
        <v>204</v>
      </c>
      <c r="AD41">
        <v>2777</v>
      </c>
      <c r="AE41">
        <v>37</v>
      </c>
      <c r="AF41">
        <v>3</v>
      </c>
      <c r="AG41">
        <v>40</v>
      </c>
      <c r="AH41" s="13">
        <v>141369300000</v>
      </c>
      <c r="AI41" s="13">
        <v>175248180200</v>
      </c>
      <c r="AJ41" s="13">
        <v>33878880200</v>
      </c>
    </row>
    <row r="42" spans="1:36" x14ac:dyDescent="0.35">
      <c r="A42">
        <v>11</v>
      </c>
      <c r="B42" t="s">
        <v>31</v>
      </c>
      <c r="C42" t="s">
        <v>32</v>
      </c>
      <c r="D42">
        <v>117.6183000128034</v>
      </c>
      <c r="E42">
        <v>40645</v>
      </c>
      <c r="F42">
        <v>3337</v>
      </c>
      <c r="G42">
        <v>128.43333333333331</v>
      </c>
      <c r="H42">
        <v>11.62592592592593</v>
      </c>
      <c r="I42">
        <v>11.62592592592593</v>
      </c>
      <c r="J42">
        <v>10.351851851851849</v>
      </c>
      <c r="K42">
        <v>0.73333333333333328</v>
      </c>
      <c r="L42">
        <v>0.73333333333333328</v>
      </c>
      <c r="M42">
        <v>0.12592592592592591</v>
      </c>
      <c r="N42">
        <v>0</v>
      </c>
      <c r="O42">
        <v>0.12592592592592591</v>
      </c>
      <c r="P42">
        <v>128.38888888888891</v>
      </c>
      <c r="Q42" t="s">
        <v>37</v>
      </c>
      <c r="R42">
        <v>37.037037037037038</v>
      </c>
      <c r="S42" t="s">
        <v>38</v>
      </c>
      <c r="T42">
        <v>62.222222222222221</v>
      </c>
      <c r="U42" t="s">
        <v>39</v>
      </c>
      <c r="V42" s="16">
        <v>88.888888888888886</v>
      </c>
      <c r="W42" t="s">
        <v>40</v>
      </c>
      <c r="X42">
        <v>77.777777777777786</v>
      </c>
      <c r="Y42">
        <v>34677</v>
      </c>
      <c r="Z42">
        <v>3139</v>
      </c>
      <c r="AA42">
        <v>37816</v>
      </c>
      <c r="AB42">
        <v>2461</v>
      </c>
      <c r="AC42">
        <v>198</v>
      </c>
      <c r="AD42">
        <v>2795</v>
      </c>
      <c r="AE42">
        <v>34</v>
      </c>
      <c r="AF42">
        <v>0</v>
      </c>
      <c r="AG42">
        <v>34</v>
      </c>
      <c r="AH42" s="13">
        <v>141369300000</v>
      </c>
      <c r="AI42" s="13">
        <v>166276167400</v>
      </c>
      <c r="AJ42" s="13">
        <v>24906867400</v>
      </c>
    </row>
    <row r="43" spans="1:36" x14ac:dyDescent="0.35">
      <c r="A43">
        <v>19</v>
      </c>
      <c r="B43" t="s">
        <v>31</v>
      </c>
      <c r="C43" t="s">
        <v>32</v>
      </c>
      <c r="D43">
        <v>122.5885974536197</v>
      </c>
      <c r="E43">
        <v>40700</v>
      </c>
      <c r="F43">
        <v>3338</v>
      </c>
      <c r="G43">
        <v>128.67037037037039</v>
      </c>
      <c r="H43">
        <v>11.6</v>
      </c>
      <c r="I43">
        <v>11.6</v>
      </c>
      <c r="J43">
        <v>10.32592592592593</v>
      </c>
      <c r="K43">
        <v>0.75185185185185188</v>
      </c>
      <c r="L43">
        <v>0.75185185185185188</v>
      </c>
      <c r="M43">
        <v>0.1333333333333333</v>
      </c>
      <c r="N43">
        <v>1.111111111111111E-2</v>
      </c>
      <c r="O43">
        <v>0.1444444444444444</v>
      </c>
      <c r="P43">
        <v>128.38518518518521</v>
      </c>
      <c r="Q43" t="s">
        <v>56</v>
      </c>
      <c r="R43">
        <v>37.407407407407398</v>
      </c>
      <c r="S43" t="s">
        <v>57</v>
      </c>
      <c r="T43">
        <v>60.74074074074074</v>
      </c>
      <c r="U43" t="s">
        <v>39</v>
      </c>
      <c r="V43" s="14">
        <v>88.888888888888886</v>
      </c>
      <c r="W43" t="s">
        <v>36</v>
      </c>
      <c r="X43">
        <v>81.481481481481481</v>
      </c>
      <c r="Y43">
        <v>34741</v>
      </c>
      <c r="Z43">
        <v>3132</v>
      </c>
      <c r="AA43">
        <v>37873</v>
      </c>
      <c r="AB43">
        <v>2429</v>
      </c>
      <c r="AC43">
        <v>203</v>
      </c>
      <c r="AD43">
        <v>2788</v>
      </c>
      <c r="AE43">
        <v>36</v>
      </c>
      <c r="AF43">
        <v>3</v>
      </c>
      <c r="AG43">
        <v>39</v>
      </c>
      <c r="AH43" s="13">
        <v>141369300000</v>
      </c>
      <c r="AI43" s="13">
        <v>173302642100</v>
      </c>
      <c r="AJ43" s="13">
        <v>31933342100</v>
      </c>
    </row>
    <row r="44" spans="1:36" x14ac:dyDescent="0.35">
      <c r="A44">
        <v>47</v>
      </c>
      <c r="B44" t="s">
        <v>31</v>
      </c>
      <c r="C44" t="s">
        <v>32</v>
      </c>
      <c r="D44">
        <v>134.64788132925611</v>
      </c>
      <c r="E44">
        <v>40780</v>
      </c>
      <c r="F44">
        <v>3318</v>
      </c>
      <c r="G44">
        <v>128.9851851851852</v>
      </c>
      <c r="H44">
        <v>11.52962962962963</v>
      </c>
      <c r="I44">
        <v>11.52962962962963</v>
      </c>
      <c r="J44">
        <v>10.32592592592593</v>
      </c>
      <c r="K44">
        <v>0.73703703703703705</v>
      </c>
      <c r="L44">
        <v>0.73703703703703705</v>
      </c>
      <c r="M44">
        <v>0.1740740740740741</v>
      </c>
      <c r="N44">
        <v>2.222222222222222E-2</v>
      </c>
      <c r="O44">
        <v>0.1962962962962963</v>
      </c>
      <c r="P44">
        <v>128.44444444444451</v>
      </c>
      <c r="Q44" t="s">
        <v>83</v>
      </c>
      <c r="R44">
        <v>37.777777777777779</v>
      </c>
      <c r="S44" t="s">
        <v>84</v>
      </c>
      <c r="T44">
        <v>60.370370370370367</v>
      </c>
      <c r="U44" t="s">
        <v>35</v>
      </c>
      <c r="V44" s="19">
        <v>92.592592592592595</v>
      </c>
      <c r="W44" t="s">
        <v>36</v>
      </c>
      <c r="X44">
        <v>81.481481481481481</v>
      </c>
      <c r="Y44">
        <v>34826</v>
      </c>
      <c r="Z44">
        <v>3113</v>
      </c>
      <c r="AA44">
        <v>37939</v>
      </c>
      <c r="AB44">
        <v>2377</v>
      </c>
      <c r="AC44">
        <v>199</v>
      </c>
      <c r="AD44">
        <v>2788</v>
      </c>
      <c r="AE44">
        <v>47</v>
      </c>
      <c r="AF44">
        <v>6</v>
      </c>
      <c r="AG44" s="17">
        <v>53</v>
      </c>
      <c r="AH44" s="13">
        <v>141369300000</v>
      </c>
      <c r="AI44" s="13">
        <v>190350767300</v>
      </c>
      <c r="AJ44" s="13">
        <v>48981467300</v>
      </c>
    </row>
    <row r="45" spans="1:36" x14ac:dyDescent="0.35">
      <c r="A45">
        <v>21</v>
      </c>
      <c r="B45" t="s">
        <v>31</v>
      </c>
      <c r="C45" t="s">
        <v>32</v>
      </c>
      <c r="D45">
        <v>119.57909319774519</v>
      </c>
      <c r="E45">
        <v>40686</v>
      </c>
      <c r="F45">
        <v>3412</v>
      </c>
      <c r="G45">
        <v>128.3666666666667</v>
      </c>
      <c r="H45">
        <v>11.885185185185181</v>
      </c>
      <c r="I45">
        <v>11.885185185185181</v>
      </c>
      <c r="J45">
        <v>10.3037037037037</v>
      </c>
      <c r="K45">
        <v>0.73333333333333328</v>
      </c>
      <c r="L45">
        <v>0.73333333333333328</v>
      </c>
      <c r="M45">
        <v>0.1148148148148148</v>
      </c>
      <c r="N45">
        <v>1.8518518518518521E-2</v>
      </c>
      <c r="O45">
        <v>0.1333333333333333</v>
      </c>
      <c r="P45">
        <v>128.11111111111109</v>
      </c>
      <c r="Q45" t="s">
        <v>60</v>
      </c>
      <c r="R45">
        <v>41.481481481481481</v>
      </c>
      <c r="S45" t="s">
        <v>61</v>
      </c>
      <c r="T45">
        <v>58.148148148148152</v>
      </c>
      <c r="U45" t="s">
        <v>36</v>
      </c>
      <c r="V45">
        <v>81.481481481481481</v>
      </c>
      <c r="W45" t="s">
        <v>62</v>
      </c>
      <c r="X45">
        <v>66.666666666666657</v>
      </c>
      <c r="Y45">
        <v>34659</v>
      </c>
      <c r="Z45">
        <v>3209</v>
      </c>
      <c r="AA45">
        <v>37868</v>
      </c>
      <c r="AB45">
        <v>2440</v>
      </c>
      <c r="AC45">
        <v>198</v>
      </c>
      <c r="AD45">
        <v>2782</v>
      </c>
      <c r="AE45">
        <v>31</v>
      </c>
      <c r="AF45">
        <v>5</v>
      </c>
      <c r="AG45">
        <v>36</v>
      </c>
      <c r="AH45" s="13">
        <v>141369300000</v>
      </c>
      <c r="AI45" s="13">
        <v>169048127000</v>
      </c>
      <c r="AJ45" s="13">
        <v>27678827000</v>
      </c>
    </row>
    <row r="46" spans="1:36" x14ac:dyDescent="0.35">
      <c r="A46">
        <v>53</v>
      </c>
    </row>
    <row r="47" spans="1:36" x14ac:dyDescent="0.35">
      <c r="A47">
        <v>54</v>
      </c>
    </row>
    <row r="48" spans="1:36" x14ac:dyDescent="0.35">
      <c r="A48">
        <v>55</v>
      </c>
    </row>
    <row r="49" spans="1:1" x14ac:dyDescent="0.35">
      <c r="A49">
        <v>56</v>
      </c>
    </row>
    <row r="50" spans="1:1" x14ac:dyDescent="0.35">
      <c r="A50">
        <v>57</v>
      </c>
    </row>
    <row r="51" spans="1:1" x14ac:dyDescent="0.35">
      <c r="A51">
        <v>58</v>
      </c>
    </row>
    <row r="52" spans="1:1" x14ac:dyDescent="0.35">
      <c r="A52">
        <v>59</v>
      </c>
    </row>
    <row r="53" spans="1:1" x14ac:dyDescent="0.35">
      <c r="A53">
        <v>60</v>
      </c>
    </row>
  </sheetData>
  <autoFilter ref="A2:AM2" xr:uid="{00000000-0009-0000-0000-000000000000}">
    <sortState ref="A3:AM53">
      <sortCondition ref="R2"/>
    </sortState>
  </autoFilter>
  <mergeCells count="4">
    <mergeCell ref="Y1:AA1"/>
    <mergeCell ref="AE1:AG1"/>
    <mergeCell ref="AB1:AD1"/>
    <mergeCell ref="G1:P1"/>
  </mergeCells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2"/>
  <sheetViews>
    <sheetView workbookViewId="0">
      <selection activeCell="F38" sqref="F38"/>
    </sheetView>
  </sheetViews>
  <sheetFormatPr defaultRowHeight="14.5" x14ac:dyDescent="0.35"/>
  <sheetData>
    <row r="1" spans="1:30" x14ac:dyDescent="0.35">
      <c r="A1">
        <v>43</v>
      </c>
      <c r="B1" t="s">
        <v>90</v>
      </c>
      <c r="C1" t="s">
        <v>91</v>
      </c>
      <c r="D1" t="s">
        <v>92</v>
      </c>
      <c r="E1" t="s">
        <v>93</v>
      </c>
      <c r="F1">
        <f>(E1-D1)</f>
        <v>44923036840</v>
      </c>
      <c r="G1">
        <f>(E1/D1)*100</f>
        <v>134.1825173113387</v>
      </c>
      <c r="H1">
        <v>37866</v>
      </c>
      <c r="I1">
        <f>(T1+W1+Z1)</f>
        <v>3107</v>
      </c>
      <c r="J1">
        <v>128.72111553784859</v>
      </c>
      <c r="K1">
        <v>11.58565737051793</v>
      </c>
      <c r="L1">
        <v>10.366533864541831</v>
      </c>
      <c r="M1">
        <v>0.77290836653386452</v>
      </c>
      <c r="N1">
        <v>0.16733067729083659</v>
      </c>
      <c r="O1">
        <v>1.9920318725099601E-2</v>
      </c>
      <c r="P1">
        <v>128.32270916334659</v>
      </c>
      <c r="Q1" t="s">
        <v>94</v>
      </c>
      <c r="R1">
        <v>32.270916334661351</v>
      </c>
      <c r="S1">
        <v>32309</v>
      </c>
      <c r="T1">
        <v>2908</v>
      </c>
      <c r="U1">
        <v>35217</v>
      </c>
      <c r="V1">
        <v>2220</v>
      </c>
      <c r="W1">
        <v>194</v>
      </c>
      <c r="X1">
        <v>2602</v>
      </c>
      <c r="Y1">
        <v>42</v>
      </c>
      <c r="Z1">
        <v>5</v>
      </c>
      <c r="AA1">
        <v>47</v>
      </c>
      <c r="AB1">
        <v>23</v>
      </c>
      <c r="AC1">
        <v>5</v>
      </c>
      <c r="AD1">
        <v>28</v>
      </c>
    </row>
    <row r="2" spans="1:30" x14ac:dyDescent="0.35">
      <c r="A2">
        <v>44</v>
      </c>
      <c r="B2" t="s">
        <v>90</v>
      </c>
      <c r="C2" t="s">
        <v>91</v>
      </c>
      <c r="D2" t="s">
        <v>92</v>
      </c>
      <c r="E2" t="s">
        <v>93</v>
      </c>
      <c r="F2">
        <f>(E2-D2)</f>
        <v>44923036840</v>
      </c>
      <c r="G2">
        <f>(E2/D2)*100</f>
        <v>134.1825173113387</v>
      </c>
      <c r="H2">
        <v>37866</v>
      </c>
      <c r="I2">
        <f>(T2+W2+Z2)</f>
        <v>3107</v>
      </c>
      <c r="J2">
        <v>128.72111553784859</v>
      </c>
      <c r="K2">
        <v>11.58565737051793</v>
      </c>
      <c r="L2">
        <v>10.366533864541831</v>
      </c>
      <c r="M2">
        <v>0.77290836653386452</v>
      </c>
      <c r="N2">
        <v>0.16733067729083659</v>
      </c>
      <c r="O2">
        <v>1.9920318725099601E-2</v>
      </c>
      <c r="P2">
        <v>128.32270916334659</v>
      </c>
      <c r="Q2" t="s">
        <v>94</v>
      </c>
      <c r="R2">
        <v>32.270916334661351</v>
      </c>
      <c r="S2">
        <v>32309</v>
      </c>
      <c r="T2">
        <v>2908</v>
      </c>
      <c r="U2">
        <v>35217</v>
      </c>
      <c r="V2">
        <v>2220</v>
      </c>
      <c r="W2">
        <v>194</v>
      </c>
      <c r="X2">
        <v>2602</v>
      </c>
      <c r="Y2">
        <v>42</v>
      </c>
      <c r="Z2">
        <v>5</v>
      </c>
      <c r="AA2">
        <v>47</v>
      </c>
      <c r="AB2">
        <v>23</v>
      </c>
      <c r="AC2">
        <v>5</v>
      </c>
      <c r="AD2">
        <v>28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2015-06-05T18:17:20Z</dcterms:created>
  <dcterms:modified xsi:type="dcterms:W3CDTF">2026-01-02T03:46:03Z</dcterms:modified>
</cp:coreProperties>
</file>