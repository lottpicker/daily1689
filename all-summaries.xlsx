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100" yWindow="2310" windowWidth="26200" windowHeight="176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8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6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1"/>
    <xf numFmtId="164" fontId="1" fillId="2" borderId="0" applyAlignment="1" pivotButton="0" quotePrefix="0" xfId="1">
      <alignment horizontal="center" vertical="center"/>
    </xf>
    <xf numFmtId="164" fontId="0" fillId="0" borderId="0" pivotButton="0" quotePrefix="0" xfId="1"/>
    <xf numFmtId="164" fontId="1" fillId="2" borderId="0" applyAlignment="1" pivotButton="0" quotePrefix="0" xfId="1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tabSelected="1" topLeftCell="B1" workbookViewId="0">
      <selection activeCell="F11" sqref="F11"/>
    </sheetView>
  </sheetViews>
  <sheetFormatPr baseColWidth="8" defaultRowHeight="14.5"/>
  <cols>
    <col width="9" customWidth="1" style="8" min="2" max="2"/>
    <col width="7.08984375" customWidth="1" style="8" min="3" max="3"/>
    <col width="16.1796875" customWidth="1" style="15" min="4" max="5"/>
    <col width="13.08984375" customWidth="1" style="8" min="6" max="7"/>
    <col width="12.1796875" customWidth="1" style="8" min="8" max="8"/>
    <col width="6.453125" customWidth="1" style="8" min="9" max="15"/>
    <col width="9" customWidth="1" style="8" min="16" max="16"/>
    <col width="9.08984375" customWidth="1" style="8" min="17" max="17"/>
    <col width="9.26953125" customWidth="1" style="8" min="18" max="26"/>
    <col width="6.6328125" customWidth="1" style="8" min="27" max="27"/>
    <col width="7.7265625" customWidth="1" style="8" min="28" max="28"/>
    <col width="6.6328125" customWidth="1" style="8" min="29" max="32"/>
  </cols>
  <sheetData>
    <row r="1">
      <c r="I1" s="10" t="inlineStr">
        <is>
          <t>Trung bình/Kỳ</t>
        </is>
      </c>
      <c r="R1" s="9" t="inlineStr">
        <is>
          <t>Trúng 3</t>
        </is>
      </c>
      <c r="U1" s="11" t="inlineStr">
        <is>
          <t>Trúng 4</t>
        </is>
      </c>
      <c r="X1" s="7" t="inlineStr">
        <is>
          <t>Trúng 5</t>
        </is>
      </c>
    </row>
    <row r="2" ht="53.5" customFormat="1" customHeight="1" s="2">
      <c r="A2" s="12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6" t="inlineStr">
        <is>
          <t>Chi</t>
        </is>
      </c>
      <c r="E2" s="16" t="inlineStr">
        <is>
          <t>Thu</t>
        </is>
      </c>
      <c r="F2" s="1" t="inlineStr">
        <is>
          <t>Lãi/Lỗ</t>
        </is>
      </c>
      <c r="G2" s="1" t="inlineStr">
        <is>
          <t>% thu hồi</t>
        </is>
      </c>
      <c r="H2" s="1" t="inlineStr">
        <is>
          <t>Tất cả vé&gt;=3</t>
        </is>
      </c>
      <c r="I2" s="4" t="n">
        <v>3</v>
      </c>
      <c r="J2" s="4" t="inlineStr">
        <is>
          <t>3+</t>
        </is>
      </c>
      <c r="K2" s="4" t="n">
        <v>4</v>
      </c>
      <c r="L2" s="4" t="inlineStr">
        <is>
          <t>4+</t>
        </is>
      </c>
      <c r="M2" s="4" t="n">
        <v>5</v>
      </c>
      <c r="N2" s="4" t="inlineStr">
        <is>
          <t>5+</t>
        </is>
      </c>
      <c r="O2" s="4" t="inlineStr">
        <is>
          <t>+</t>
        </is>
      </c>
      <c r="P2" s="6" t="inlineStr">
        <is>
          <t>Thu 
&lt;80%</t>
        </is>
      </c>
      <c r="Q2" s="6" t="inlineStr">
        <is>
          <t>Tỉ lệ
&lt;80%</t>
        </is>
      </c>
      <c r="R2" s="3" t="n">
        <v>3</v>
      </c>
      <c r="S2" s="3" t="inlineStr">
        <is>
          <t>3+</t>
        </is>
      </c>
      <c r="T2" s="3" t="inlineStr">
        <is>
          <t>Tổng  3</t>
        </is>
      </c>
      <c r="U2" s="3" t="n">
        <v>4</v>
      </c>
      <c r="V2" s="3" t="inlineStr">
        <is>
          <t>4+</t>
        </is>
      </c>
      <c r="W2" s="3" t="inlineStr">
        <is>
          <t>Tổng 4</t>
        </is>
      </c>
      <c r="X2" s="3" t="n">
        <v>5</v>
      </c>
      <c r="Y2" s="3" t="inlineStr">
        <is>
          <t>5+</t>
        </is>
      </c>
      <c r="Z2" s="3" t="inlineStr">
        <is>
          <t>Tổng 5</t>
        </is>
      </c>
    </row>
    <row r="3">
      <c r="A3" t="n">
        <v>10</v>
      </c>
      <c r="B3" t="inlineStr">
        <is>
          <t>100-350</t>
        </is>
      </c>
      <c r="C3" t="n">
        <v>251</v>
      </c>
      <c r="D3" s="15" t="n">
        <v>130373910000</v>
      </c>
      <c r="E3" s="15" t="n">
        <v>182036153640</v>
      </c>
      <c r="F3">
        <f>(E3-D3)</f>
        <v/>
      </c>
      <c r="G3">
        <f>(E3/D3)*100</f>
        <v/>
      </c>
      <c r="H3" t="n">
        <v>37417</v>
      </c>
      <c r="I3" t="n">
        <v>127.7848605577689</v>
      </c>
      <c r="J3" t="n">
        <v>11.64541832669323</v>
      </c>
      <c r="K3" t="n">
        <v>8.637450199203187</v>
      </c>
      <c r="L3" t="n">
        <v>0.8047808764940239</v>
      </c>
      <c r="M3" t="n">
        <v>0.1752988047808765</v>
      </c>
      <c r="N3" t="n">
        <v>0.02390438247011952</v>
      </c>
      <c r="O3" t="n">
        <v>127.1513944223108</v>
      </c>
      <c r="P3" t="inlineStr">
        <is>
          <t>78/251</t>
        </is>
      </c>
      <c r="Q3" t="n">
        <v>31.07569721115538</v>
      </c>
      <c r="R3" t="n">
        <v>32074</v>
      </c>
      <c r="S3" t="n">
        <v>2923</v>
      </c>
      <c r="T3" t="n">
        <v>34997</v>
      </c>
      <c r="U3" t="n">
        <v>2168</v>
      </c>
      <c r="V3" t="n">
        <v>202</v>
      </c>
      <c r="W3" t="inlineStr">
        <is>
          <t>2370</t>
        </is>
      </c>
      <c r="X3" t="n">
        <v>44</v>
      </c>
      <c r="Y3" t="n">
        <v>6</v>
      </c>
      <c r="Z3" t="n">
        <v>50</v>
      </c>
    </row>
    <row r="4">
      <c r="A4" t="n">
        <v>11</v>
      </c>
      <c r="B4" t="inlineStr">
        <is>
          <t>100-350</t>
        </is>
      </c>
      <c r="C4" t="n">
        <v>251</v>
      </c>
      <c r="D4" t="n">
        <v>131421090000</v>
      </c>
      <c r="E4" t="n">
        <v>148641587120</v>
      </c>
      <c r="F4">
        <f>(E4-D4)</f>
        <v/>
      </c>
      <c r="G4">
        <f>(E4/D4)*100</f>
        <v/>
      </c>
      <c r="H4" t="n">
        <v>37661</v>
      </c>
      <c r="I4" t="n">
        <v>128.4860557768924</v>
      </c>
      <c r="J4" t="n">
        <v>11.59760956175299</v>
      </c>
      <c r="K4" t="n">
        <v>9.115537848605578</v>
      </c>
      <c r="L4" t="n">
        <v>0.7171314741035857</v>
      </c>
      <c r="M4" t="n">
        <v>0.1274900398406374</v>
      </c>
      <c r="N4" t="n">
        <v>0</v>
      </c>
      <c r="O4" t="n">
        <v>128.4342629482072</v>
      </c>
      <c r="P4" t="inlineStr">
        <is>
          <t>94/251</t>
        </is>
      </c>
      <c r="Q4" t="n">
        <v>37.45019920318725</v>
      </c>
      <c r="R4" t="n">
        <v>32250</v>
      </c>
      <c r="S4" t="n">
        <v>2911</v>
      </c>
      <c r="T4" t="n">
        <v>35161</v>
      </c>
      <c r="U4" t="n">
        <v>2288</v>
      </c>
      <c r="V4" t="n">
        <v>180</v>
      </c>
      <c r="W4" t="inlineStr">
        <is>
          <t>2468</t>
        </is>
      </c>
      <c r="X4" t="n">
        <v>32</v>
      </c>
      <c r="Y4" t="n">
        <v>0</v>
      </c>
      <c r="Z4" t="n">
        <v>32</v>
      </c>
    </row>
    <row r="5">
      <c r="A5" t="n">
        <v>12</v>
      </c>
      <c r="B5" t="inlineStr">
        <is>
          <t>100-350</t>
        </is>
      </c>
      <c r="C5" t="n">
        <v>251</v>
      </c>
      <c r="D5" t="n">
        <v>131421090000</v>
      </c>
      <c r="E5" t="n">
        <v>171216874920</v>
      </c>
      <c r="F5">
        <f>(E5-D5)</f>
        <v/>
      </c>
      <c r="G5">
        <f>(E5/D5)*100</f>
        <v/>
      </c>
      <c r="H5" t="n">
        <v>37718</v>
      </c>
      <c r="I5" t="n">
        <v>128.7171314741036</v>
      </c>
      <c r="J5" t="n">
        <v>11.81274900398406</v>
      </c>
      <c r="K5" t="n">
        <v>8.756972111553784</v>
      </c>
      <c r="L5" t="n">
        <v>0.796812749003984</v>
      </c>
      <c r="M5" t="n">
        <v>0.1832669322709163</v>
      </c>
      <c r="N5" t="n">
        <v>0.00398406374501992</v>
      </c>
      <c r="O5" t="n">
        <v>128.1354581673307</v>
      </c>
      <c r="P5" t="inlineStr">
        <is>
          <t>87/251</t>
        </is>
      </c>
      <c r="Q5" t="n">
        <v>34.66135458167331</v>
      </c>
      <c r="R5" t="n">
        <v>32308</v>
      </c>
      <c r="S5" t="n">
        <v>2965</v>
      </c>
      <c r="T5" t="n">
        <v>35273</v>
      </c>
      <c r="U5" t="n">
        <v>2198</v>
      </c>
      <c r="V5" t="n">
        <v>200</v>
      </c>
      <c r="W5" t="inlineStr">
        <is>
          <t>2398</t>
        </is>
      </c>
      <c r="X5" t="n">
        <v>46</v>
      </c>
      <c r="Y5" t="n">
        <v>1</v>
      </c>
      <c r="Z5" t="n">
        <v>47</v>
      </c>
    </row>
    <row r="6">
      <c r="A6" t="n">
        <v>13</v>
      </c>
      <c r="B6" t="inlineStr">
        <is>
          <t>100-350</t>
        </is>
      </c>
      <c r="C6" t="n">
        <v>251</v>
      </c>
      <c r="D6" t="n">
        <v>131421090000</v>
      </c>
      <c r="E6" t="n">
        <v>168885007860</v>
      </c>
      <c r="F6">
        <f>(E6-D6)</f>
        <v/>
      </c>
      <c r="G6">
        <f>(E6/D6)*100</f>
        <v/>
      </c>
      <c r="H6" t="n">
        <v>37715</v>
      </c>
      <c r="I6" t="n">
        <v>128.601593625498</v>
      </c>
      <c r="J6" t="n">
        <v>11.8605577689243</v>
      </c>
      <c r="K6" t="n">
        <v>8.800796812749004</v>
      </c>
      <c r="L6" t="n">
        <v>0.8366533864541833</v>
      </c>
      <c r="M6" t="n">
        <v>0.1434262948207171</v>
      </c>
      <c r="N6" t="n">
        <v>0.01593625498007968</v>
      </c>
      <c r="O6" t="n">
        <v>128.0358565737052</v>
      </c>
      <c r="P6" t="inlineStr">
        <is>
          <t>88/251</t>
        </is>
      </c>
      <c r="Q6" t="n">
        <v>35.0597609561753</v>
      </c>
      <c r="R6" t="n">
        <v>32279</v>
      </c>
      <c r="S6" t="n">
        <v>2977</v>
      </c>
      <c r="T6" t="n">
        <v>35256</v>
      </c>
      <c r="U6" t="n">
        <v>2209</v>
      </c>
      <c r="V6" t="n">
        <v>210</v>
      </c>
      <c r="W6" t="inlineStr">
        <is>
          <t>2419</t>
        </is>
      </c>
      <c r="X6" t="n">
        <v>36</v>
      </c>
      <c r="Y6" t="n">
        <v>4</v>
      </c>
      <c r="Z6" t="n">
        <v>40</v>
      </c>
    </row>
    <row r="7">
      <c r="A7" t="n">
        <v>14</v>
      </c>
      <c r="B7" t="inlineStr">
        <is>
          <t>100-350</t>
        </is>
      </c>
      <c r="C7" t="n">
        <v>251</v>
      </c>
      <c r="D7" t="n">
        <v>131421090000</v>
      </c>
      <c r="E7" t="n">
        <v>166937578280</v>
      </c>
      <c r="F7">
        <f>(E7-D7)</f>
        <v/>
      </c>
      <c r="G7">
        <f>(E7/D7)*100</f>
        <v/>
      </c>
      <c r="H7" t="n">
        <v>37675</v>
      </c>
      <c r="I7" t="n">
        <v>128.2390438247012</v>
      </c>
      <c r="J7" t="n">
        <v>12.01195219123506</v>
      </c>
      <c r="K7" t="n">
        <v>8.832669322709163</v>
      </c>
      <c r="L7" t="n">
        <v>0.8565737051792829</v>
      </c>
      <c r="M7" t="n">
        <v>0.151394422310757</v>
      </c>
      <c r="N7" t="n">
        <v>0.00796812749003984</v>
      </c>
      <c r="O7" t="n">
        <v>127.8725099601594</v>
      </c>
      <c r="P7" t="inlineStr">
        <is>
          <t>87/251</t>
        </is>
      </c>
      <c r="Q7" t="n">
        <v>34.66135458167331</v>
      </c>
      <c r="R7" t="n">
        <v>32188</v>
      </c>
      <c r="S7" t="n">
        <v>3015</v>
      </c>
      <c r="T7" t="n">
        <v>35203</v>
      </c>
      <c r="U7" t="n">
        <v>2217</v>
      </c>
      <c r="V7" t="n">
        <v>215</v>
      </c>
      <c r="W7" t="inlineStr">
        <is>
          <t>2432</t>
        </is>
      </c>
      <c r="X7" t="n">
        <v>38</v>
      </c>
      <c r="Y7" t="n">
        <v>2</v>
      </c>
      <c r="Z7" t="n">
        <v>40</v>
      </c>
    </row>
    <row r="8">
      <c r="A8" t="n">
        <v>15</v>
      </c>
      <c r="B8" t="inlineStr">
        <is>
          <t>100-350</t>
        </is>
      </c>
      <c r="C8" t="n">
        <v>251</v>
      </c>
      <c r="D8" t="n">
        <v>131421090000</v>
      </c>
      <c r="E8" t="n">
        <v>186740852920</v>
      </c>
      <c r="F8">
        <f>(E8-D8)</f>
        <v/>
      </c>
      <c r="G8">
        <f>(E8/D8)*100</f>
        <v/>
      </c>
      <c r="H8" t="n">
        <v>37678</v>
      </c>
      <c r="I8" t="n">
        <v>128.6972111553785</v>
      </c>
      <c r="J8" t="n">
        <v>11.60956175298805</v>
      </c>
      <c r="K8" t="n">
        <v>8.689243027888446</v>
      </c>
      <c r="L8" t="n">
        <v>0.9282868525896414</v>
      </c>
      <c r="M8" t="n">
        <v>0.1553784860557769</v>
      </c>
      <c r="N8" t="n">
        <v>0.03187250996015936</v>
      </c>
      <c r="O8" t="n">
        <v>128.1792828685259</v>
      </c>
      <c r="P8" t="inlineStr">
        <is>
          <t>63/251</t>
        </is>
      </c>
      <c r="Q8" t="n">
        <v>25.0996015936255</v>
      </c>
      <c r="R8" t="n">
        <v>32303</v>
      </c>
      <c r="S8" t="n">
        <v>2914</v>
      </c>
      <c r="T8" t="n">
        <v>35217</v>
      </c>
      <c r="U8" t="n">
        <v>2181</v>
      </c>
      <c r="V8" t="n">
        <v>233</v>
      </c>
      <c r="W8" t="inlineStr">
        <is>
          <t>2414</t>
        </is>
      </c>
      <c r="X8" t="n">
        <v>39</v>
      </c>
      <c r="Y8" t="n">
        <v>8</v>
      </c>
      <c r="Z8" t="n">
        <v>47</v>
      </c>
    </row>
    <row r="9">
      <c r="A9" t="n">
        <v>16</v>
      </c>
      <c r="B9" t="inlineStr">
        <is>
          <t>100-350</t>
        </is>
      </c>
      <c r="C9" t="n">
        <v>251</v>
      </c>
      <c r="D9" t="n">
        <v>131421090000</v>
      </c>
      <c r="E9" t="n">
        <v>174643537020</v>
      </c>
      <c r="F9">
        <f>(E9-D9)</f>
        <v/>
      </c>
      <c r="G9">
        <f>(E9/D9)*100</f>
        <v/>
      </c>
      <c r="H9" t="n">
        <v>37689</v>
      </c>
      <c r="I9" t="n">
        <v>128.4581673306773</v>
      </c>
      <c r="J9" t="n">
        <v>11.90836653386454</v>
      </c>
      <c r="K9" t="n">
        <v>8.796812749003983</v>
      </c>
      <c r="L9" t="n">
        <v>0.8167330677290837</v>
      </c>
      <c r="M9" t="n">
        <v>0.1553784860557769</v>
      </c>
      <c r="N9" t="n">
        <v>0.0199203187250996</v>
      </c>
      <c r="O9" t="n">
        <v>128.003984063745</v>
      </c>
      <c r="P9" t="inlineStr">
        <is>
          <t>84/251</t>
        </is>
      </c>
      <c r="Q9" t="n">
        <v>33.46613545816733</v>
      </c>
      <c r="R9" t="n">
        <v>32243</v>
      </c>
      <c r="S9" t="n">
        <v>2989</v>
      </c>
      <c r="T9" t="n">
        <v>35232</v>
      </c>
      <c r="U9" t="n">
        <v>2208</v>
      </c>
      <c r="V9" t="n">
        <v>205</v>
      </c>
      <c r="W9" t="inlineStr">
        <is>
          <t>2413</t>
        </is>
      </c>
      <c r="X9" t="n">
        <v>39</v>
      </c>
      <c r="Y9" t="n">
        <v>5</v>
      </c>
      <c r="Z9" t="n">
        <v>44</v>
      </c>
    </row>
    <row r="10">
      <c r="A10" t="n">
        <v>17</v>
      </c>
      <c r="B10" t="inlineStr">
        <is>
          <t>100-350</t>
        </is>
      </c>
      <c r="C10" t="n">
        <v>251</v>
      </c>
      <c r="D10" t="n">
        <v>131421090000</v>
      </c>
      <c r="E10" t="n">
        <v>171029502840</v>
      </c>
      <c r="F10">
        <f>(E10-D10)</f>
        <v/>
      </c>
      <c r="G10">
        <f>(E10/D10)*100</f>
        <v/>
      </c>
      <c r="H10" t="n">
        <v>37682</v>
      </c>
      <c r="I10" t="n">
        <v>128.6414342629482</v>
      </c>
      <c r="J10" t="n">
        <v>11.66135458167331</v>
      </c>
      <c r="K10" t="n">
        <v>8.824701195219124</v>
      </c>
      <c r="L10" t="n">
        <v>0.8326693227091634</v>
      </c>
      <c r="M10" t="n">
        <v>0.151394422310757</v>
      </c>
      <c r="N10" t="n">
        <v>0.01593625498007968</v>
      </c>
      <c r="O10" t="n">
        <v>128.2390438247012</v>
      </c>
      <c r="P10" t="inlineStr">
        <is>
          <t>74/251</t>
        </is>
      </c>
      <c r="Q10" t="n">
        <v>29.48207171314741</v>
      </c>
      <c r="R10" t="n">
        <v>32289</v>
      </c>
      <c r="S10" t="n">
        <v>2927</v>
      </c>
      <c r="T10" t="n">
        <v>35216</v>
      </c>
      <c r="U10" t="n">
        <v>2215</v>
      </c>
      <c r="V10" t="n">
        <v>209</v>
      </c>
      <c r="W10" t="inlineStr">
        <is>
          <t>2424</t>
        </is>
      </c>
      <c r="X10" t="n">
        <v>38</v>
      </c>
      <c r="Y10" t="n">
        <v>4</v>
      </c>
      <c r="Z10" t="n">
        <v>42</v>
      </c>
    </row>
    <row r="11">
      <c r="A11" t="n">
        <v>18</v>
      </c>
      <c r="B11" t="inlineStr">
        <is>
          <t>100-350</t>
        </is>
      </c>
      <c r="C11" t="n">
        <v>251</v>
      </c>
      <c r="D11" t="n">
        <v>131421090000</v>
      </c>
      <c r="E11" t="n">
        <v>170803812640</v>
      </c>
      <c r="F11">
        <f>(E11-D11)</f>
        <v/>
      </c>
      <c r="G11">
        <f>(E11/D11)*100</f>
        <v/>
      </c>
      <c r="H11" t="n">
        <v>37669</v>
      </c>
      <c r="I11" t="n">
        <v>128.8167330677291</v>
      </c>
      <c r="J11" t="n">
        <v>11.37450199203187</v>
      </c>
      <c r="K11" t="n">
        <v>8.856573705179283</v>
      </c>
      <c r="L11" t="n">
        <v>0.8645418326693227</v>
      </c>
      <c r="M11" t="n">
        <v>0.1474103585657371</v>
      </c>
      <c r="N11" t="n">
        <v>0.01593625498007968</v>
      </c>
      <c r="O11" t="n">
        <v>128.4940239043825</v>
      </c>
      <c r="P11" t="inlineStr">
        <is>
          <t>81/251</t>
        </is>
      </c>
      <c r="Q11" t="n">
        <v>32.27091633466135</v>
      </c>
      <c r="R11" t="n">
        <v>32333</v>
      </c>
      <c r="S11" t="n">
        <v>2855</v>
      </c>
      <c r="T11" t="n">
        <v>35188</v>
      </c>
      <c r="U11" t="n">
        <v>2223</v>
      </c>
      <c r="V11" t="n">
        <v>217</v>
      </c>
      <c r="W11" t="inlineStr">
        <is>
          <t>2440</t>
        </is>
      </c>
      <c r="X11" t="n">
        <v>37</v>
      </c>
      <c r="Y11" t="n">
        <v>4</v>
      </c>
      <c r="Z11" t="n">
        <v>41</v>
      </c>
    </row>
    <row r="12">
      <c r="A12" t="n">
        <v>19</v>
      </c>
      <c r="B12" t="inlineStr">
        <is>
          <t>100-350</t>
        </is>
      </c>
      <c r="C12" t="n">
        <v>251</v>
      </c>
      <c r="D12" t="n">
        <v>131421090000</v>
      </c>
      <c r="E12" t="n">
        <v>153958977980</v>
      </c>
      <c r="F12">
        <f>(E12-D12)</f>
        <v/>
      </c>
      <c r="G12">
        <f>(E12/D12)*100</f>
        <v/>
      </c>
      <c r="H12" t="n">
        <v>37679</v>
      </c>
      <c r="I12" t="n">
        <v>128.5338645418327</v>
      </c>
      <c r="J12" t="n">
        <v>11.64541832669323</v>
      </c>
      <c r="K12" t="n">
        <v>9.0597609561753</v>
      </c>
      <c r="L12" t="n">
        <v>0.7450199203187251</v>
      </c>
      <c r="M12" t="n">
        <v>0.1235059760956175</v>
      </c>
      <c r="N12" t="n">
        <v>0.00796812749003984</v>
      </c>
      <c r="O12" t="n">
        <v>128.3505976095618</v>
      </c>
      <c r="P12" t="inlineStr">
        <is>
          <t>98/251</t>
        </is>
      </c>
      <c r="Q12" t="n">
        <v>39.04382470119522</v>
      </c>
      <c r="R12" t="n">
        <v>32262</v>
      </c>
      <c r="S12" t="n">
        <v>2923</v>
      </c>
      <c r="T12" t="n">
        <v>35185</v>
      </c>
      <c r="U12" t="n">
        <v>2274</v>
      </c>
      <c r="V12" t="n">
        <v>187</v>
      </c>
      <c r="W12" t="inlineStr">
        <is>
          <t>2461</t>
        </is>
      </c>
      <c r="X12" t="n">
        <v>31</v>
      </c>
      <c r="Y12" t="n">
        <v>2</v>
      </c>
      <c r="Z12" t="n">
        <v>33</v>
      </c>
    </row>
    <row r="13">
      <c r="A13" t="n">
        <v>20</v>
      </c>
      <c r="B13" t="inlineStr">
        <is>
          <t>100-350</t>
        </is>
      </c>
      <c r="C13" t="n">
        <v>251</v>
      </c>
      <c r="D13" t="n">
        <v>131421090000</v>
      </c>
      <c r="E13" t="n">
        <v>175963427720</v>
      </c>
      <c r="F13">
        <f>(E13-D13)</f>
        <v/>
      </c>
      <c r="G13">
        <f>(E13/D13)*100</f>
        <v/>
      </c>
      <c r="H13" t="n">
        <v>37693</v>
      </c>
      <c r="I13" t="n">
        <v>128.5378486055777</v>
      </c>
      <c r="J13" t="n">
        <v>11.89243027888446</v>
      </c>
      <c r="K13" t="n">
        <v>8.749003984063744</v>
      </c>
      <c r="L13" t="n">
        <v>0.7888446215139442</v>
      </c>
      <c r="M13" t="n">
        <v>0.199203187250996</v>
      </c>
      <c r="N13" t="n">
        <v>0.00398406374501992</v>
      </c>
      <c r="O13" t="n">
        <v>128.0637450199203</v>
      </c>
      <c r="P13" t="inlineStr">
        <is>
          <t>84/251</t>
        </is>
      </c>
      <c r="Q13" t="n">
        <v>33.46613545816733</v>
      </c>
      <c r="R13" t="n">
        <v>32263</v>
      </c>
      <c r="S13" t="n">
        <v>2985</v>
      </c>
      <c r="T13" t="n">
        <v>35248</v>
      </c>
      <c r="U13" t="n">
        <v>2196</v>
      </c>
      <c r="V13" t="n">
        <v>198</v>
      </c>
      <c r="W13" t="inlineStr">
        <is>
          <t>2394</t>
        </is>
      </c>
      <c r="X13" t="n">
        <v>50</v>
      </c>
      <c r="Y13" t="n">
        <v>1</v>
      </c>
      <c r="Z13" t="n">
        <v>51</v>
      </c>
    </row>
    <row r="14">
      <c r="A14" t="n">
        <v>21</v>
      </c>
      <c r="B14" t="inlineStr">
        <is>
          <t>100-350</t>
        </is>
      </c>
      <c r="C14" t="n">
        <v>251</v>
      </c>
      <c r="D14" t="n">
        <v>131421090000</v>
      </c>
      <c r="E14" t="n">
        <v>157289866920</v>
      </c>
      <c r="F14">
        <f>(E14-D14)</f>
        <v/>
      </c>
      <c r="G14">
        <f>(E14/D14)*100</f>
        <v/>
      </c>
      <c r="H14" t="n">
        <v>37691</v>
      </c>
      <c r="I14" t="n">
        <v>128.3545816733068</v>
      </c>
      <c r="J14" t="n">
        <v>11.90836653386454</v>
      </c>
      <c r="K14" t="n">
        <v>9.063745019920319</v>
      </c>
      <c r="L14" t="n">
        <v>0.7051792828685259</v>
      </c>
      <c r="M14" t="n">
        <v>0.1115537848605578</v>
      </c>
      <c r="N14" t="n">
        <v>0.0199203187250996</v>
      </c>
      <c r="O14" t="n">
        <v>128.1155378486056</v>
      </c>
      <c r="P14" t="inlineStr">
        <is>
          <t>107/251</t>
        </is>
      </c>
      <c r="Q14" t="n">
        <v>42.62948207171315</v>
      </c>
      <c r="R14" t="n">
        <v>32217</v>
      </c>
      <c r="S14" t="n">
        <v>2989</v>
      </c>
      <c r="T14" t="n">
        <v>35206</v>
      </c>
      <c r="U14" t="n">
        <v>2275</v>
      </c>
      <c r="V14" t="n">
        <v>177</v>
      </c>
      <c r="W14" t="inlineStr">
        <is>
          <t>2452</t>
        </is>
      </c>
      <c r="X14" t="n">
        <v>28</v>
      </c>
      <c r="Y14" t="n">
        <v>5</v>
      </c>
      <c r="Z14" t="n">
        <v>33</v>
      </c>
    </row>
    <row r="15">
      <c r="A15" t="n">
        <v>22</v>
      </c>
      <c r="B15" t="inlineStr">
        <is>
          <t>100-350</t>
        </is>
      </c>
      <c r="C15" t="n">
        <v>251</v>
      </c>
      <c r="D15" t="n">
        <v>131421090000</v>
      </c>
      <c r="E15" t="n">
        <v>161643553900</v>
      </c>
      <c r="F15">
        <f>(E15-D15)</f>
        <v/>
      </c>
      <c r="G15">
        <f>(E15/D15)*100</f>
        <v/>
      </c>
      <c r="H15" t="n">
        <v>37638</v>
      </c>
      <c r="I15" t="n">
        <v>128.1513944223107</v>
      </c>
      <c r="J15" t="n">
        <v>11.84860557768924</v>
      </c>
      <c r="K15" t="n">
        <v>9.011952191235061</v>
      </c>
      <c r="L15" t="n">
        <v>0.7848605577689243</v>
      </c>
      <c r="M15" t="n">
        <v>0.151394422310757</v>
      </c>
      <c r="N15" t="n">
        <v>0.00398406374501992</v>
      </c>
      <c r="O15" t="n">
        <v>128.1115537848605</v>
      </c>
      <c r="P15" t="inlineStr">
        <is>
          <t>87/251</t>
        </is>
      </c>
      <c r="Q15" t="n">
        <v>34.66135458167331</v>
      </c>
      <c r="R15" t="n">
        <v>32166</v>
      </c>
      <c r="S15" t="n">
        <v>2974</v>
      </c>
      <c r="T15" t="n">
        <v>35140</v>
      </c>
      <c r="U15" t="n">
        <v>2262</v>
      </c>
      <c r="V15" t="n">
        <v>197</v>
      </c>
      <c r="W15" t="inlineStr">
        <is>
          <t>2459</t>
        </is>
      </c>
      <c r="X15" t="n">
        <v>38</v>
      </c>
      <c r="Y15" t="n">
        <v>1</v>
      </c>
      <c r="Z15" t="n">
        <v>39</v>
      </c>
    </row>
    <row r="16">
      <c r="A16" t="n">
        <v>23</v>
      </c>
      <c r="B16" t="inlineStr">
        <is>
          <t>100-350</t>
        </is>
      </c>
      <c r="C16" t="n">
        <v>251</v>
      </c>
      <c r="D16" t="n">
        <v>131421090000</v>
      </c>
      <c r="E16" t="n">
        <v>161107982100</v>
      </c>
      <c r="F16">
        <f>(E16-D16)</f>
        <v/>
      </c>
      <c r="G16">
        <f>(E16/D16)*100</f>
        <v/>
      </c>
      <c r="H16" t="n">
        <v>37673</v>
      </c>
      <c r="I16" t="n">
        <v>128.4262948207171</v>
      </c>
      <c r="J16" t="n">
        <v>11.7609561752988</v>
      </c>
      <c r="K16" t="n">
        <v>8.936254980079681</v>
      </c>
      <c r="L16" t="n">
        <v>0.8286852589641435</v>
      </c>
      <c r="M16" t="n">
        <v>0.1274900398406374</v>
      </c>
      <c r="N16" t="n">
        <v>0.01195219123505976</v>
      </c>
      <c r="O16" t="n">
        <v>128.1474103585657</v>
      </c>
      <c r="P16" t="inlineStr">
        <is>
          <t>82/251</t>
        </is>
      </c>
      <c r="Q16" t="n">
        <v>32.66932270916335</v>
      </c>
      <c r="R16" t="n">
        <v>32235</v>
      </c>
      <c r="S16" t="n">
        <v>2952</v>
      </c>
      <c r="T16" t="n">
        <v>35187</v>
      </c>
      <c r="U16" t="n">
        <v>2243</v>
      </c>
      <c r="V16" t="n">
        <v>208</v>
      </c>
      <c r="W16" t="inlineStr">
        <is>
          <t>2451</t>
        </is>
      </c>
      <c r="X16" t="n">
        <v>32</v>
      </c>
      <c r="Y16" t="n">
        <v>3</v>
      </c>
      <c r="Z16" t="n">
        <v>35</v>
      </c>
    </row>
    <row r="17">
      <c r="A17" t="n">
        <v>24</v>
      </c>
      <c r="B17" t="inlineStr">
        <is>
          <t>100-350</t>
        </is>
      </c>
      <c r="C17" t="n">
        <v>251</v>
      </c>
      <c r="D17" t="n">
        <v>131421090000</v>
      </c>
      <c r="E17" t="n">
        <v>157811392240</v>
      </c>
      <c r="F17">
        <f>(E17-D17)</f>
        <v/>
      </c>
      <c r="G17">
        <f>(E17/D17)*100</f>
        <v/>
      </c>
      <c r="H17" t="n">
        <v>37664</v>
      </c>
      <c r="I17" t="n">
        <v>128.3625498007968</v>
      </c>
      <c r="J17" t="n">
        <v>11.7808764940239</v>
      </c>
      <c r="K17" t="n">
        <v>8.9402390438247</v>
      </c>
      <c r="L17" t="n">
        <v>0.8286852589641435</v>
      </c>
      <c r="M17" t="n">
        <v>0.1434262948207171</v>
      </c>
      <c r="N17" t="n">
        <v>0</v>
      </c>
      <c r="O17" t="n">
        <v>128.1394422310757</v>
      </c>
      <c r="P17" t="inlineStr">
        <is>
          <t>78/251</t>
        </is>
      </c>
      <c r="Q17" t="n">
        <v>31.07569721115538</v>
      </c>
      <c r="R17" t="n">
        <v>32219</v>
      </c>
      <c r="S17" t="n">
        <v>2957</v>
      </c>
      <c r="T17" t="n">
        <v>35176</v>
      </c>
      <c r="U17" t="n">
        <v>2244</v>
      </c>
      <c r="V17" t="n">
        <v>208</v>
      </c>
      <c r="W17" t="inlineStr">
        <is>
          <t>2452</t>
        </is>
      </c>
      <c r="X17" t="n">
        <v>36</v>
      </c>
      <c r="Y17" t="n">
        <v>0</v>
      </c>
      <c r="Z17" t="n">
        <v>36</v>
      </c>
    </row>
    <row r="18">
      <c r="A18" t="n">
        <v>25</v>
      </c>
      <c r="B18" t="inlineStr">
        <is>
          <t>100-350</t>
        </is>
      </c>
      <c r="C18" t="n">
        <v>251</v>
      </c>
      <c r="D18" t="n">
        <v>131421090000</v>
      </c>
      <c r="E18" t="n">
        <v>166054694380</v>
      </c>
      <c r="F18">
        <f>(E18-D18)</f>
        <v/>
      </c>
      <c r="G18">
        <f>(E18/D18)*100</f>
        <v/>
      </c>
      <c r="H18" t="n">
        <v>37687</v>
      </c>
      <c r="I18" t="n">
        <v>128.8326693227092</v>
      </c>
      <c r="J18" t="n">
        <v>11.47410358565737</v>
      </c>
      <c r="K18" t="n">
        <v>8.816733067729084</v>
      </c>
      <c r="L18" t="n">
        <v>0.8605577689243028</v>
      </c>
      <c r="M18" t="n">
        <v>0.1593625498007968</v>
      </c>
      <c r="N18" t="n">
        <v>0.00398406374501992</v>
      </c>
      <c r="O18" t="n">
        <v>128.4103585657371</v>
      </c>
      <c r="P18" t="inlineStr">
        <is>
          <t>78/251</t>
        </is>
      </c>
      <c r="Q18" t="n">
        <v>31.07569721115538</v>
      </c>
      <c r="R18" t="n">
        <v>32337</v>
      </c>
      <c r="S18" t="n">
        <v>2880</v>
      </c>
      <c r="T18" t="n">
        <v>35217</v>
      </c>
      <c r="U18" t="n">
        <v>2213</v>
      </c>
      <c r="V18" t="n">
        <v>216</v>
      </c>
      <c r="W18" t="inlineStr">
        <is>
          <t>2429</t>
        </is>
      </c>
      <c r="X18" t="n">
        <v>40</v>
      </c>
      <c r="Y18" t="n">
        <v>1</v>
      </c>
      <c r="Z18" t="n">
        <v>41</v>
      </c>
    </row>
    <row r="19">
      <c r="A19" t="n">
        <v>26</v>
      </c>
      <c r="B19" t="inlineStr">
        <is>
          <t>100-350</t>
        </is>
      </c>
      <c r="C19" t="n">
        <v>251</v>
      </c>
      <c r="D19" t="n">
        <v>82727220000</v>
      </c>
      <c r="E19" t="n">
        <v>110189550920</v>
      </c>
      <c r="F19">
        <f>(E19-D19)</f>
        <v/>
      </c>
      <c r="G19">
        <f>(E19/D19)*100</f>
        <v/>
      </c>
      <c r="H19" t="n">
        <v>23703</v>
      </c>
      <c r="I19" t="n">
        <v>80.89641434262948</v>
      </c>
      <c r="J19" t="n">
        <v>7.318725099601593</v>
      </c>
      <c r="K19" t="n">
        <v>5.577689243027889</v>
      </c>
      <c r="L19" t="n">
        <v>0.5258964143426295</v>
      </c>
      <c r="M19" t="n">
        <v>0.1075697211155379</v>
      </c>
      <c r="N19" t="n">
        <v>0.00796812749003984</v>
      </c>
      <c r="O19" t="n">
        <v>80.73306772908367</v>
      </c>
      <c r="P19" t="inlineStr">
        <is>
          <t>52/251</t>
        </is>
      </c>
      <c r="Q19" t="n">
        <v>20.71713147410359</v>
      </c>
      <c r="R19" t="n">
        <v>20305</v>
      </c>
      <c r="S19" t="n">
        <v>1837</v>
      </c>
      <c r="T19" t="n">
        <v>22142</v>
      </c>
      <c r="U19" t="n">
        <v>1400</v>
      </c>
      <c r="V19" t="n">
        <v>132</v>
      </c>
      <c r="W19" t="inlineStr">
        <is>
          <t>1532</t>
        </is>
      </c>
      <c r="X19" t="n">
        <v>27</v>
      </c>
      <c r="Y19" t="n">
        <v>2</v>
      </c>
      <c r="Z19" t="n">
        <v>29</v>
      </c>
    </row>
    <row r="20">
      <c r="A20" t="n">
        <v>27</v>
      </c>
      <c r="B20" t="inlineStr">
        <is>
          <t>100-350</t>
        </is>
      </c>
      <c r="C20" t="n">
        <v>251</v>
      </c>
      <c r="D20" t="n">
        <v>131421090000</v>
      </c>
      <c r="E20" t="n">
        <v>170433084440</v>
      </c>
      <c r="F20">
        <f>(E20-D20)</f>
        <v/>
      </c>
      <c r="G20">
        <f>(E20/D20)*100</f>
        <v/>
      </c>
      <c r="H20" t="n">
        <v>37685</v>
      </c>
      <c r="I20" t="n">
        <v>128.8525896414343</v>
      </c>
      <c r="J20" t="n">
        <v>11.46613545816733</v>
      </c>
      <c r="K20" t="n">
        <v>8.852589641434262</v>
      </c>
      <c r="L20" t="n">
        <v>0.7808764940239044</v>
      </c>
      <c r="M20" t="n">
        <v>0.1832669322709163</v>
      </c>
      <c r="N20" t="n">
        <v>0.00398406374501992</v>
      </c>
      <c r="O20" t="n">
        <v>128.4980079681275</v>
      </c>
      <c r="P20" t="inlineStr">
        <is>
          <t>84/251</t>
        </is>
      </c>
      <c r="Q20" t="n">
        <v>33.46613545816733</v>
      </c>
      <c r="R20" t="n">
        <v>32342</v>
      </c>
      <c r="S20" t="n">
        <v>2878</v>
      </c>
      <c r="T20" t="n">
        <v>35220</v>
      </c>
      <c r="U20" t="n">
        <v>2222</v>
      </c>
      <c r="V20" t="n">
        <v>196</v>
      </c>
      <c r="W20" t="inlineStr">
        <is>
          <t>2418</t>
        </is>
      </c>
      <c r="X20" t="n">
        <v>46</v>
      </c>
      <c r="Y20" t="n">
        <v>1</v>
      </c>
      <c r="Z20" t="n">
        <v>47</v>
      </c>
    </row>
    <row r="21">
      <c r="A21" t="n">
        <v>28</v>
      </c>
      <c r="B21" t="inlineStr">
        <is>
          <t>100-350</t>
        </is>
      </c>
      <c r="C21" t="n">
        <v>251</v>
      </c>
      <c r="D21" t="n">
        <v>131421090000</v>
      </c>
      <c r="E21" t="n">
        <v>167688031760</v>
      </c>
      <c r="F21">
        <f>(E21-D21)</f>
        <v/>
      </c>
      <c r="G21">
        <f>(E21/D21)*100</f>
        <v/>
      </c>
      <c r="H21" t="n">
        <v>37694</v>
      </c>
      <c r="I21" t="n">
        <v>128.796812749004</v>
      </c>
      <c r="J21" t="n">
        <v>11.55776892430279</v>
      </c>
      <c r="K21" t="n">
        <v>8.912350597609562</v>
      </c>
      <c r="L21" t="n">
        <v>0.7290836653386454</v>
      </c>
      <c r="M21" t="n">
        <v>0.1713147410358566</v>
      </c>
      <c r="N21" t="n">
        <v>0.00796812749003984</v>
      </c>
      <c r="O21" t="n">
        <v>128.4541832669323</v>
      </c>
      <c r="P21" t="inlineStr">
        <is>
          <t>87/251</t>
        </is>
      </c>
      <c r="Q21" t="n">
        <v>34.66135458167331</v>
      </c>
      <c r="R21" t="n">
        <v>32328</v>
      </c>
      <c r="S21" t="n">
        <v>2901</v>
      </c>
      <c r="T21" t="n">
        <v>35229</v>
      </c>
      <c r="U21" t="n">
        <v>2237</v>
      </c>
      <c r="V21" t="n">
        <v>183</v>
      </c>
      <c r="W21" t="inlineStr">
        <is>
          <t>2420</t>
        </is>
      </c>
      <c r="X21" t="n">
        <v>43</v>
      </c>
      <c r="Y21" t="n">
        <v>2</v>
      </c>
      <c r="Z21" t="n">
        <v>45</v>
      </c>
    </row>
    <row r="22">
      <c r="A22" t="n">
        <v>29</v>
      </c>
      <c r="B22" t="inlineStr">
        <is>
          <t>100-350</t>
        </is>
      </c>
      <c r="C22" t="n">
        <v>251</v>
      </c>
      <c r="D22" t="n">
        <v>130897500000</v>
      </c>
      <c r="E22" t="n">
        <v>166479362960</v>
      </c>
      <c r="F22">
        <f>(E22-D22)</f>
        <v/>
      </c>
      <c r="G22">
        <f>(E22/D22)*100</f>
        <v/>
      </c>
      <c r="H22" t="n">
        <v>37520</v>
      </c>
      <c r="I22" t="n">
        <v>128.199203187251</v>
      </c>
      <c r="J22" t="n">
        <v>11.39043824701195</v>
      </c>
      <c r="K22" t="n">
        <v>8.920318725099602</v>
      </c>
      <c r="L22" t="n">
        <v>0.8167330677290837</v>
      </c>
      <c r="M22" t="n">
        <v>0.1394422310756972</v>
      </c>
      <c r="N22" t="n">
        <v>0.01593625498007968</v>
      </c>
      <c r="O22" t="n">
        <v>127.9641434262948</v>
      </c>
      <c r="P22" t="inlineStr">
        <is>
          <t>84/251</t>
        </is>
      </c>
      <c r="Q22" t="n">
        <v>33.46613545816733</v>
      </c>
      <c r="R22" t="n">
        <v>32178</v>
      </c>
      <c r="S22" t="n">
        <v>2859</v>
      </c>
      <c r="T22" t="n">
        <v>35037</v>
      </c>
      <c r="U22" t="n">
        <v>2239</v>
      </c>
      <c r="V22" t="n">
        <v>205</v>
      </c>
      <c r="W22" t="inlineStr">
        <is>
          <t>2444</t>
        </is>
      </c>
      <c r="X22" t="n">
        <v>35</v>
      </c>
      <c r="Y22" t="n">
        <v>4</v>
      </c>
      <c r="Z22" t="n">
        <v>39</v>
      </c>
    </row>
    <row r="23">
      <c r="A23" t="n">
        <v>30</v>
      </c>
    </row>
    <row r="24">
      <c r="A24" t="n">
        <v>31</v>
      </c>
    </row>
    <row r="25">
      <c r="A25" t="n">
        <v>32</v>
      </c>
    </row>
    <row r="26">
      <c r="A26" t="n">
        <v>33</v>
      </c>
    </row>
    <row r="27">
      <c r="A27" t="n">
        <v>34</v>
      </c>
    </row>
    <row r="28">
      <c r="A28" t="n">
        <v>35</v>
      </c>
    </row>
    <row r="29">
      <c r="A29" t="n">
        <v>36</v>
      </c>
    </row>
    <row r="30">
      <c r="A30" t="n">
        <v>37</v>
      </c>
    </row>
    <row r="31">
      <c r="A31" t="n">
        <v>38</v>
      </c>
    </row>
    <row r="32">
      <c r="A32" t="n">
        <v>39</v>
      </c>
    </row>
    <row r="33">
      <c r="A33" t="n">
        <v>40</v>
      </c>
    </row>
    <row r="34">
      <c r="A34" t="n">
        <v>41</v>
      </c>
    </row>
    <row r="35">
      <c r="A35" t="n">
        <v>42</v>
      </c>
    </row>
    <row r="36">
      <c r="A36" t="n">
        <v>43</v>
      </c>
    </row>
    <row r="37">
      <c r="A37" t="n">
        <v>44</v>
      </c>
    </row>
    <row r="38">
      <c r="A38" t="n">
        <v>45</v>
      </c>
    </row>
    <row r="39">
      <c r="A39" t="n">
        <v>46</v>
      </c>
    </row>
    <row r="40">
      <c r="A40" t="n">
        <v>47</v>
      </c>
    </row>
    <row r="41">
      <c r="A41" t="n">
        <v>48</v>
      </c>
    </row>
    <row r="42">
      <c r="A42" t="n">
        <v>49</v>
      </c>
    </row>
    <row r="43">
      <c r="A43" t="n">
        <v>50</v>
      </c>
    </row>
    <row r="44">
      <c r="A44" t="n">
        <v>51</v>
      </c>
    </row>
  </sheetData>
  <mergeCells count="4">
    <mergeCell ref="U1:W1"/>
    <mergeCell ref="X1:Z1"/>
    <mergeCell ref="I1:O1"/>
    <mergeCell ref="R1:T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2025-12-26T04:56:17Z</dcterms:modified>
  <cp:lastModifiedBy>Admin</cp:lastModifiedBy>
</cp:coreProperties>
</file>