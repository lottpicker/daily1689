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2DA9525A-9B13-4A4F-ADE3-9E6D75A6AECE}" xr6:coauthVersionLast="41" xr6:coauthVersionMax="41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definedNames>
    <definedName name="_xlnm._FilterDatabase" localSheetId="0" hidden="1">Sheet1!$A$2:$AG$2</definedName>
  </definedNames>
  <calcPr calcId="191029"/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" i="1"/>
  <c r="G4" i="1"/>
  <c r="F4" i="1"/>
  <c r="G7" i="1"/>
  <c r="F7" i="1"/>
  <c r="G15" i="1"/>
  <c r="F15" i="1"/>
  <c r="G21" i="1"/>
  <c r="F21" i="1"/>
  <c r="G24" i="1"/>
  <c r="F24" i="1"/>
  <c r="G12" i="1"/>
  <c r="F12" i="1"/>
  <c r="G23" i="1"/>
  <c r="F23" i="1"/>
  <c r="G6" i="1"/>
  <c r="F6" i="1"/>
  <c r="G20" i="1"/>
  <c r="F20" i="1"/>
  <c r="G8" i="1"/>
  <c r="F8" i="1"/>
  <c r="G18" i="1"/>
  <c r="F18" i="1"/>
  <c r="G11" i="1"/>
  <c r="F11" i="1"/>
  <c r="G13" i="1"/>
  <c r="F13" i="1"/>
  <c r="G9" i="1"/>
  <c r="F9" i="1"/>
  <c r="G5" i="1"/>
  <c r="F5" i="1"/>
  <c r="G16" i="1"/>
  <c r="F16" i="1"/>
  <c r="G19" i="1"/>
  <c r="F19" i="1"/>
  <c r="G3" i="1"/>
  <c r="F3" i="1"/>
  <c r="G25" i="1"/>
  <c r="F25" i="1"/>
  <c r="G22" i="1"/>
  <c r="F22" i="1"/>
  <c r="G28" i="1"/>
  <c r="F28" i="1"/>
  <c r="G14" i="1"/>
  <c r="F14" i="1"/>
  <c r="G26" i="1"/>
  <c r="F26" i="1"/>
  <c r="G27" i="1"/>
  <c r="F27" i="1"/>
  <c r="G17" i="1"/>
  <c r="F17" i="1"/>
  <c r="G32" i="1"/>
  <c r="F32" i="1"/>
  <c r="G30" i="1"/>
  <c r="F30" i="1"/>
  <c r="G31" i="1"/>
  <c r="F31" i="1"/>
  <c r="G29" i="1"/>
  <c r="F29" i="1"/>
  <c r="G10" i="1"/>
  <c r="F10" i="1"/>
</calcChain>
</file>

<file path=xl/sharedStrings.xml><?xml version="1.0" encoding="utf-8"?>
<sst xmlns="http://schemas.openxmlformats.org/spreadsheetml/2006/main" count="174" uniqueCount="74">
  <si>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</si>
  <si>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</si>
  <si>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</si>
  <si>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</si>
  <si>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</si>
  <si>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</si>
  <si>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</si>
  <si>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Chi</t>
  </si>
  <si>
    <t>Thu</t>
  </si>
  <si>
    <t>Lãi/Lỗ</t>
  </si>
  <si>
    <t>% thu hồi</t>
  </si>
  <si>
    <t>Tất cả vé&gt;=3</t>
  </si>
  <si>
    <t>3+</t>
  </si>
  <si>
    <t>4+</t>
  </si>
  <si>
    <t>5+</t>
  </si>
  <si>
    <t>+</t>
  </si>
  <si>
    <t>Thu 
&lt;80%</t>
  </si>
  <si>
    <t>Tỉ lệ
&lt;80%</t>
  </si>
  <si>
    <t>Tổng  3</t>
  </si>
  <si>
    <t>Tổng 4</t>
  </si>
  <si>
    <t>Tổng 5</t>
  </si>
  <si>
    <t>100-350</t>
  </si>
  <si>
    <t>251</t>
  </si>
  <si>
    <t>131421090000</t>
  </si>
  <si>
    <t>161643553900.0</t>
  </si>
  <si>
    <t>87/251</t>
  </si>
  <si>
    <t>166820986360.0</t>
  </si>
  <si>
    <t>85/251</t>
  </si>
  <si>
    <t>170433084440.0</t>
  </si>
  <si>
    <t>84/251</t>
  </si>
  <si>
    <t>170803812640.0</t>
  </si>
  <si>
    <t>81/251</t>
  </si>
  <si>
    <t>171413667160.0</t>
  </si>
  <si>
    <t>86/251</t>
  </si>
  <si>
    <t>186740852920.0</t>
  </si>
  <si>
    <t>63/251</t>
  </si>
  <si>
    <t>167688031760.0</t>
  </si>
  <si>
    <t>148641587120.0</t>
  </si>
  <si>
    <t>94/251</t>
  </si>
  <si>
    <t>157811392240.0</t>
  </si>
  <si>
    <t>78/251</t>
  </si>
  <si>
    <t>169944938680.0</t>
  </si>
  <si>
    <t>79/251</t>
  </si>
  <si>
    <t>153958977980.0</t>
  </si>
  <si>
    <t>98/251</t>
  </si>
  <si>
    <t>166054694380.0</t>
  </si>
  <si>
    <t>166937578280.0</t>
  </si>
  <si>
    <t>171029502840.0</t>
  </si>
  <si>
    <t>74/251</t>
  </si>
  <si>
    <t>161107982100.0</t>
  </si>
  <si>
    <t>82/251</t>
  </si>
  <si>
    <t>174643537020.0</t>
  </si>
  <si>
    <t>130897500000</t>
  </si>
  <si>
    <t>175487208060.0</t>
  </si>
  <si>
    <t>171216874920.0</t>
  </si>
  <si>
    <t>157289866920.0</t>
  </si>
  <si>
    <t>107/251</t>
  </si>
  <si>
    <t>167310505260.0</t>
  </si>
  <si>
    <t>80/251</t>
  </si>
  <si>
    <t>168885007860.0</t>
  </si>
  <si>
    <t>88/251</t>
  </si>
  <si>
    <t>130373910000</t>
  </si>
  <si>
    <t>182036153640</t>
  </si>
  <si>
    <t>131498900000</t>
  </si>
  <si>
    <t>170463432200.0</t>
  </si>
  <si>
    <t>170939923080.0</t>
  </si>
  <si>
    <t>166858889160.0</t>
  </si>
  <si>
    <t>164732142100.0</t>
  </si>
  <si>
    <t>179650048180.0</t>
  </si>
  <si>
    <t>167470427040.0</t>
  </si>
  <si>
    <t>89/251</t>
  </si>
  <si>
    <t>173795020080.0</t>
  </si>
  <si>
    <t>161436994660.0</t>
  </si>
  <si>
    <t>Tất cả vé&gt;=3+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</si>
</sst>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1" fillId="12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1" applyNumberFormat="1" applyFont="1"/>
    <xf numFmtId="164" fontId="1" fillId="2" borderId="0" xfId="1" applyNumberFormat="1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64" fontId="2" fillId="0" borderId="0" xfId="1" applyNumberFormat="1"/>
    <xf numFmtId="0" fontId="0" fillId="0" borderId="0" xfId="0" quotePrefix="1"/>
    <xf numFmtId="0" fontId="1" fillId="12" borderId="0" xfId="2" applyAlignment="1">
      <alignment horizontal="center" vertical="center"/>
    </xf>
    <xf numFmtId="0" fontId="0" fillId="13" borderId="0" xfId="0" applyFill="1"/>
    <xf numFmtId="0" fontId="0" fillId="14" borderId="0" xfId="0" applyFill="1"/>
    <xf numFmtId="0" fontId="0" fillId="8" borderId="0" xfId="0" applyFill="1"/>
    <xf numFmtId="0" fontId="0" fillId="0" borderId="0" xfId="0"/>
    <xf numFmtId="2" fontId="0" fillId="0" borderId="0" xfId="0" applyNumberFormat="1"/>
    <xf numFmtId="0" fontId="1" fillId="5" borderId="0" xfId="0" applyFont="1" applyFill="1" applyAlignment="1">
      <alignment horizontal="center"/>
    </xf>
    <xf numFmtId="0" fontId="0" fillId="0" borderId="0" xfId="0"/>
    <xf numFmtId="2" fontId="0" fillId="0" borderId="0" xfId="0" applyNumberFormat="1"/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15" borderId="0" xfId="0" applyFill="1"/>
  </cellXfs>
  <cellStyles count="3">
    <cellStyle name="Accent5" xfId="2" builtinId="45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"/>
  <sheetViews>
    <sheetView tabSelected="1" workbookViewId="0">
      <selection activeCell="Q45" sqref="Q45"/>
    </sheetView>
  </sheetViews>
  <sheetFormatPr defaultRowHeight="14.5" x14ac:dyDescent="0.35"/>
  <cols>
    <col min="2" max="2" width="9" style="19" customWidth="1"/>
    <col min="3" max="3" width="4.26953125" style="19" customWidth="1"/>
    <col min="4" max="4" width="17.54296875" style="7" customWidth="1"/>
    <col min="5" max="5" width="14.7265625" style="7" customWidth="1"/>
    <col min="6" max="6" width="16.453125" style="13" customWidth="1"/>
    <col min="7" max="7" width="13.1796875" style="19" customWidth="1"/>
    <col min="8" max="9" width="14.1796875" style="19" customWidth="1"/>
    <col min="10" max="10" width="8.453125" style="19" customWidth="1"/>
    <col min="11" max="15" width="6.453125" style="19" customWidth="1"/>
    <col min="16" max="16" width="8" style="19" customWidth="1"/>
    <col min="17" max="17" width="9" style="19" customWidth="1"/>
    <col min="18" max="18" width="9.1796875" style="19" customWidth="1"/>
    <col min="19" max="23" width="9.26953125" style="19" customWidth="1"/>
    <col min="24" max="24" width="9.26953125" style="20" customWidth="1"/>
    <col min="25" max="27" width="9.26953125" style="19" customWidth="1"/>
    <col min="28" max="28" width="6.54296875" style="19" customWidth="1"/>
    <col min="29" max="29" width="7.7265625" style="19" customWidth="1"/>
    <col min="30" max="33" width="6.54296875" style="19" customWidth="1"/>
  </cols>
  <sheetData>
    <row r="1" spans="1:27" x14ac:dyDescent="0.35">
      <c r="J1" s="25" t="s">
        <v>0</v>
      </c>
      <c r="K1" s="22"/>
      <c r="L1" s="22"/>
      <c r="M1" s="22"/>
      <c r="N1" s="22"/>
      <c r="O1" s="22"/>
      <c r="P1" s="22"/>
      <c r="S1" s="26" t="s">
        <v>1</v>
      </c>
      <c r="T1" s="22"/>
      <c r="U1" s="22"/>
      <c r="V1" s="21" t="s">
        <v>2</v>
      </c>
      <c r="W1" s="22"/>
      <c r="X1" s="23"/>
      <c r="Y1" s="24" t="s">
        <v>3</v>
      </c>
      <c r="Z1" s="22"/>
      <c r="AA1" s="22"/>
    </row>
    <row r="2" spans="1:27" s="2" customFormat="1" ht="53.5" customHeight="1" x14ac:dyDescent="0.35">
      <c r="A2" s="6" t="s">
        <v>4</v>
      </c>
      <c r="B2" s="1" t="s">
        <v>5</v>
      </c>
      <c r="C2" s="1" t="s">
        <v>6</v>
      </c>
      <c r="D2" s="8" t="s">
        <v>7</v>
      </c>
      <c r="E2" s="8" t="s">
        <v>8</v>
      </c>
      <c r="F2" s="15" t="s">
        <v>9</v>
      </c>
      <c r="G2" s="1" t="s">
        <v>10</v>
      </c>
      <c r="H2" s="1" t="s">
        <v>11</v>
      </c>
      <c r="I2" s="1" t="s">
        <v>73</v>
      </c>
      <c r="J2" s="4">
        <v>3</v>
      </c>
      <c r="K2" s="4" t="s">
        <v>12</v>
      </c>
      <c r="L2" s="4">
        <v>4</v>
      </c>
      <c r="M2" s="4" t="s">
        <v>13</v>
      </c>
      <c r="N2" s="4">
        <v>5</v>
      </c>
      <c r="O2" s="4" t="s">
        <v>14</v>
      </c>
      <c r="P2" s="4" t="s">
        <v>15</v>
      </c>
      <c r="Q2" s="5" t="s">
        <v>16</v>
      </c>
      <c r="R2" s="5" t="s">
        <v>17</v>
      </c>
      <c r="S2" s="3">
        <v>3</v>
      </c>
      <c r="T2" s="3" t="s">
        <v>12</v>
      </c>
      <c r="U2" s="3" t="s">
        <v>18</v>
      </c>
      <c r="V2" s="3">
        <v>4</v>
      </c>
      <c r="W2" s="3" t="s">
        <v>13</v>
      </c>
      <c r="X2" s="9" t="s">
        <v>19</v>
      </c>
      <c r="Y2" s="3">
        <v>5</v>
      </c>
      <c r="Z2" s="3" t="s">
        <v>14</v>
      </c>
      <c r="AA2" s="3" t="s">
        <v>20</v>
      </c>
    </row>
    <row r="3" spans="1:27" x14ac:dyDescent="0.35">
      <c r="A3" s="19">
        <v>14</v>
      </c>
      <c r="B3" t="s">
        <v>21</v>
      </c>
      <c r="C3" t="s">
        <v>22</v>
      </c>
      <c r="D3" s="14" t="s">
        <v>23</v>
      </c>
      <c r="E3" t="s">
        <v>46</v>
      </c>
      <c r="F3">
        <f>(E3-D3)</f>
        <v>35516488280</v>
      </c>
      <c r="G3">
        <f>(E3/D3)*100</f>
        <v>127.02495336174735</v>
      </c>
      <c r="H3">
        <v>37835</v>
      </c>
      <c r="I3" s="19">
        <f>(T3+W3+Z3)</f>
        <v>3232</v>
      </c>
      <c r="J3">
        <v>128.23904382470121</v>
      </c>
      <c r="K3">
        <v>12.011952191235061</v>
      </c>
      <c r="L3">
        <v>10.32669322709163</v>
      </c>
      <c r="M3">
        <v>0.85657370517928288</v>
      </c>
      <c r="N3">
        <v>0.151394422310757</v>
      </c>
      <c r="O3">
        <v>7.9681274900398405E-3</v>
      </c>
      <c r="P3">
        <v>127.87250996015941</v>
      </c>
      <c r="Q3" t="s">
        <v>25</v>
      </c>
      <c r="R3">
        <v>34.661354581673308</v>
      </c>
      <c r="S3">
        <v>32188</v>
      </c>
      <c r="T3">
        <v>3015</v>
      </c>
      <c r="U3">
        <v>35203</v>
      </c>
      <c r="V3">
        <v>2217</v>
      </c>
      <c r="W3">
        <v>215</v>
      </c>
      <c r="X3" s="19">
        <v>2592</v>
      </c>
      <c r="Y3">
        <v>38</v>
      </c>
      <c r="Z3">
        <v>2</v>
      </c>
      <c r="AA3" s="19">
        <v>40</v>
      </c>
    </row>
    <row r="4" spans="1:27" x14ac:dyDescent="0.35">
      <c r="A4">
        <v>39</v>
      </c>
      <c r="B4" t="s">
        <v>21</v>
      </c>
      <c r="C4" t="s">
        <v>22</v>
      </c>
      <c r="D4" s="19" t="s">
        <v>63</v>
      </c>
      <c r="E4" t="s">
        <v>72</v>
      </c>
      <c r="F4">
        <f>(E4-D4)</f>
        <v>29938094660</v>
      </c>
      <c r="G4">
        <f>(E4/D4)*100</f>
        <v>122.76680235347976</v>
      </c>
      <c r="H4">
        <v>37872</v>
      </c>
      <c r="I4" s="19">
        <f t="shared" ref="I4:I32" si="0">(T4+W4+Z4)</f>
        <v>3231</v>
      </c>
      <c r="J4">
        <v>128.36254980079681</v>
      </c>
      <c r="K4">
        <v>12.055776892430281</v>
      </c>
      <c r="L4">
        <v>10.314741035856571</v>
      </c>
      <c r="M4">
        <v>0.8127490039840638</v>
      </c>
      <c r="N4">
        <v>0.14741035856573709</v>
      </c>
      <c r="O4">
        <v>3.9840637450199202E-3</v>
      </c>
      <c r="P4">
        <v>127.95617529880479</v>
      </c>
      <c r="Q4" t="s">
        <v>29</v>
      </c>
      <c r="R4">
        <v>33.466135458167329</v>
      </c>
      <c r="S4">
        <v>32219</v>
      </c>
      <c r="T4">
        <v>3026</v>
      </c>
      <c r="U4">
        <v>35245</v>
      </c>
      <c r="V4">
        <v>2233</v>
      </c>
      <c r="W4">
        <v>204</v>
      </c>
      <c r="X4" s="19">
        <v>2589</v>
      </c>
      <c r="Y4">
        <v>37</v>
      </c>
      <c r="Z4">
        <v>1</v>
      </c>
      <c r="AA4">
        <v>38</v>
      </c>
    </row>
    <row r="5" spans="1:27" x14ac:dyDescent="0.35">
      <c r="A5" s="19">
        <v>16</v>
      </c>
      <c r="B5" t="s">
        <v>21</v>
      </c>
      <c r="C5" t="s">
        <v>22</v>
      </c>
      <c r="D5" s="14" t="s">
        <v>23</v>
      </c>
      <c r="E5" t="s">
        <v>51</v>
      </c>
      <c r="F5">
        <f>(E5-D5)</f>
        <v>43222447020</v>
      </c>
      <c r="G5">
        <f>(E5/D5)*100</f>
        <v>132.88851661479904</v>
      </c>
      <c r="H5">
        <v>37865</v>
      </c>
      <c r="I5" s="19">
        <f t="shared" si="0"/>
        <v>3199</v>
      </c>
      <c r="J5">
        <v>128.4581673306773</v>
      </c>
      <c r="K5">
        <v>11.908366533864539</v>
      </c>
      <c r="L5">
        <v>10.314741035856571</v>
      </c>
      <c r="M5">
        <v>0.81673306772908372</v>
      </c>
      <c r="N5">
        <v>0.15537848605577689</v>
      </c>
      <c r="O5">
        <v>1.9920318725099601E-2</v>
      </c>
      <c r="P5">
        <v>128.00398406374501</v>
      </c>
      <c r="Q5" t="s">
        <v>29</v>
      </c>
      <c r="R5">
        <v>33.466135458167329</v>
      </c>
      <c r="S5">
        <v>32243</v>
      </c>
      <c r="T5">
        <v>2989</v>
      </c>
      <c r="U5">
        <v>35232</v>
      </c>
      <c r="V5">
        <v>2208</v>
      </c>
      <c r="W5">
        <v>205</v>
      </c>
      <c r="X5" s="19">
        <v>2589</v>
      </c>
      <c r="Y5">
        <v>39</v>
      </c>
      <c r="Z5">
        <v>5</v>
      </c>
      <c r="AA5" s="19">
        <v>44</v>
      </c>
    </row>
    <row r="6" spans="1:27" x14ac:dyDescent="0.35">
      <c r="A6">
        <v>32</v>
      </c>
      <c r="B6" t="s">
        <v>21</v>
      </c>
      <c r="C6" t="s">
        <v>22</v>
      </c>
      <c r="D6" s="19" t="s">
        <v>63</v>
      </c>
      <c r="E6" t="s">
        <v>64</v>
      </c>
      <c r="F6">
        <f>(E6-D6)</f>
        <v>38964532200</v>
      </c>
      <c r="G6">
        <f>(E6/D6)*100</f>
        <v>129.63107083025028</v>
      </c>
      <c r="H6">
        <v>37906</v>
      </c>
      <c r="I6" s="19">
        <f t="shared" si="0"/>
        <v>3196</v>
      </c>
      <c r="J6">
        <v>128.65737051792831</v>
      </c>
      <c r="K6">
        <v>11.8605577689243</v>
      </c>
      <c r="L6">
        <v>10.32669322709163</v>
      </c>
      <c r="M6">
        <v>0.86852589641434264</v>
      </c>
      <c r="N6">
        <v>0.17131474103585659</v>
      </c>
      <c r="O6">
        <v>3.9840637450199202E-3</v>
      </c>
      <c r="P6">
        <v>128.09561752988051</v>
      </c>
      <c r="Q6" t="s">
        <v>48</v>
      </c>
      <c r="R6">
        <v>29.482071713147409</v>
      </c>
      <c r="S6">
        <v>32293</v>
      </c>
      <c r="T6">
        <v>2977</v>
      </c>
      <c r="U6">
        <v>35270</v>
      </c>
      <c r="V6">
        <v>2198</v>
      </c>
      <c r="W6">
        <v>218</v>
      </c>
      <c r="X6">
        <v>2592</v>
      </c>
      <c r="Y6">
        <v>43</v>
      </c>
      <c r="Z6">
        <v>1</v>
      </c>
      <c r="AA6">
        <v>44</v>
      </c>
    </row>
    <row r="7" spans="1:27" x14ac:dyDescent="0.35">
      <c r="A7">
        <v>38</v>
      </c>
      <c r="B7" t="s">
        <v>21</v>
      </c>
      <c r="C7" t="s">
        <v>22</v>
      </c>
      <c r="D7" s="19" t="s">
        <v>63</v>
      </c>
      <c r="E7" t="s">
        <v>71</v>
      </c>
      <c r="F7">
        <f>(E7-D7)</f>
        <v>42296120080</v>
      </c>
      <c r="G7">
        <f>(E7/D7)*100</f>
        <v>132.16461892837125</v>
      </c>
      <c r="H7">
        <v>37880</v>
      </c>
      <c r="I7" s="19">
        <f t="shared" si="0"/>
        <v>3196</v>
      </c>
      <c r="J7">
        <v>128.53784860557769</v>
      </c>
      <c r="K7">
        <v>11.89243027888446</v>
      </c>
      <c r="L7">
        <v>10.31872509960159</v>
      </c>
      <c r="M7">
        <v>0.81673306772908372</v>
      </c>
      <c r="N7">
        <v>0.14342629482071709</v>
      </c>
      <c r="O7">
        <v>2.3904382470119521E-2</v>
      </c>
      <c r="P7">
        <v>128.09561752988051</v>
      </c>
      <c r="Q7" t="s">
        <v>29</v>
      </c>
      <c r="R7">
        <v>33.466135458167329</v>
      </c>
      <c r="S7">
        <v>32263</v>
      </c>
      <c r="T7">
        <v>2985</v>
      </c>
      <c r="U7">
        <v>35248</v>
      </c>
      <c r="V7">
        <v>2217</v>
      </c>
      <c r="W7">
        <v>205</v>
      </c>
      <c r="X7">
        <v>2590</v>
      </c>
      <c r="Y7">
        <v>36</v>
      </c>
      <c r="Z7">
        <v>6</v>
      </c>
      <c r="AA7">
        <v>42</v>
      </c>
    </row>
    <row r="8" spans="1:27" x14ac:dyDescent="0.35">
      <c r="A8" s="19">
        <v>13</v>
      </c>
      <c r="B8" t="s">
        <v>21</v>
      </c>
      <c r="C8" t="s">
        <v>22</v>
      </c>
      <c r="D8" s="14" t="s">
        <v>23</v>
      </c>
      <c r="E8" t="s">
        <v>59</v>
      </c>
      <c r="F8">
        <f>(E8-D8)</f>
        <v>37463917860</v>
      </c>
      <c r="G8">
        <f>(E8/D8)*100</f>
        <v>128.50677761080814</v>
      </c>
      <c r="H8">
        <v>37875</v>
      </c>
      <c r="I8" s="19">
        <f t="shared" si="0"/>
        <v>3191</v>
      </c>
      <c r="J8">
        <v>128.601593625498</v>
      </c>
      <c r="K8">
        <v>11.8605577689243</v>
      </c>
      <c r="L8">
        <v>10.27490039840638</v>
      </c>
      <c r="M8">
        <v>0.8366533864541833</v>
      </c>
      <c r="N8">
        <v>0.14342629482071709</v>
      </c>
      <c r="O8">
        <v>1.5936254980079681E-2</v>
      </c>
      <c r="P8">
        <v>128.03585657370519</v>
      </c>
      <c r="Q8" t="s">
        <v>60</v>
      </c>
      <c r="R8">
        <v>35.059760956175303</v>
      </c>
      <c r="S8">
        <v>32279</v>
      </c>
      <c r="T8">
        <v>2977</v>
      </c>
      <c r="U8">
        <v>35256</v>
      </c>
      <c r="V8">
        <v>2209</v>
      </c>
      <c r="W8">
        <v>210</v>
      </c>
      <c r="X8" s="19">
        <v>2579</v>
      </c>
      <c r="Y8">
        <v>36</v>
      </c>
      <c r="Z8">
        <v>4</v>
      </c>
      <c r="AA8" s="19">
        <v>40</v>
      </c>
    </row>
    <row r="9" spans="1:27" x14ac:dyDescent="0.35">
      <c r="A9" s="18">
        <v>20</v>
      </c>
      <c r="B9" t="s">
        <v>21</v>
      </c>
      <c r="C9" t="s">
        <v>22</v>
      </c>
      <c r="D9" s="14" t="s">
        <v>52</v>
      </c>
      <c r="E9" t="s">
        <v>53</v>
      </c>
      <c r="F9">
        <f>(E9-D9)</f>
        <v>44589708060</v>
      </c>
      <c r="G9">
        <f>(E9/D9)*100</f>
        <v>134.06459868217496</v>
      </c>
      <c r="H9">
        <v>37749</v>
      </c>
      <c r="I9" s="19">
        <f t="shared" si="0"/>
        <v>3174</v>
      </c>
      <c r="J9">
        <v>128.02788844621509</v>
      </c>
      <c r="K9">
        <v>11.856573705179279</v>
      </c>
      <c r="L9">
        <v>10.306772908366529</v>
      </c>
      <c r="M9">
        <v>0.78486055776892427</v>
      </c>
      <c r="N9">
        <v>0.19920318725099601</v>
      </c>
      <c r="O9">
        <v>3.9840637450199202E-3</v>
      </c>
      <c r="P9">
        <v>127.5458167330677</v>
      </c>
      <c r="Q9" t="s">
        <v>29</v>
      </c>
      <c r="R9">
        <v>33.466135458167329</v>
      </c>
      <c r="S9">
        <v>32135</v>
      </c>
      <c r="T9">
        <v>2976</v>
      </c>
      <c r="U9">
        <v>35111</v>
      </c>
      <c r="V9">
        <v>2186</v>
      </c>
      <c r="W9">
        <v>197</v>
      </c>
      <c r="X9" s="17">
        <v>2587</v>
      </c>
      <c r="Y9">
        <v>50</v>
      </c>
      <c r="Z9">
        <v>1</v>
      </c>
      <c r="AA9" s="16">
        <v>51</v>
      </c>
    </row>
    <row r="10" spans="1:27" x14ac:dyDescent="0.35">
      <c r="A10">
        <v>22</v>
      </c>
      <c r="B10" t="s">
        <v>21</v>
      </c>
      <c r="C10" t="s">
        <v>22</v>
      </c>
      <c r="D10" s="14" t="s">
        <v>23</v>
      </c>
      <c r="E10" t="s">
        <v>24</v>
      </c>
      <c r="F10">
        <f>(E10-D10)</f>
        <v>30222463900</v>
      </c>
      <c r="G10">
        <f>(E10/D10)*100</f>
        <v>122.99666202738084</v>
      </c>
      <c r="H10">
        <v>37794</v>
      </c>
      <c r="I10" s="19">
        <f t="shared" si="0"/>
        <v>3172</v>
      </c>
      <c r="J10">
        <v>128.15139442231069</v>
      </c>
      <c r="K10">
        <v>11.84860557768924</v>
      </c>
      <c r="L10">
        <v>10.41832669322709</v>
      </c>
      <c r="M10">
        <v>0.78486055776892427</v>
      </c>
      <c r="N10">
        <v>0.151394422310757</v>
      </c>
      <c r="O10">
        <v>3.9840637450199202E-3</v>
      </c>
      <c r="P10">
        <v>128.11155378486049</v>
      </c>
      <c r="Q10" t="s">
        <v>25</v>
      </c>
      <c r="R10">
        <v>34.661354581673308</v>
      </c>
      <c r="S10">
        <v>32166</v>
      </c>
      <c r="T10">
        <v>2974</v>
      </c>
      <c r="U10">
        <v>35140</v>
      </c>
      <c r="V10">
        <v>2262</v>
      </c>
      <c r="W10">
        <v>197</v>
      </c>
      <c r="X10" s="16">
        <v>2615</v>
      </c>
      <c r="Y10">
        <v>38</v>
      </c>
      <c r="Z10">
        <v>1</v>
      </c>
      <c r="AA10">
        <v>39</v>
      </c>
    </row>
    <row r="11" spans="1:27" x14ac:dyDescent="0.35">
      <c r="A11">
        <v>21</v>
      </c>
      <c r="B11" t="s">
        <v>21</v>
      </c>
      <c r="C11" t="s">
        <v>22</v>
      </c>
      <c r="D11" s="14" t="s">
        <v>23</v>
      </c>
      <c r="E11" t="s">
        <v>55</v>
      </c>
      <c r="F11">
        <f>(E11-D11)</f>
        <v>25868776920</v>
      </c>
      <c r="G11">
        <f>(E11/D11)*100</f>
        <v>119.68388553161444</v>
      </c>
      <c r="H11">
        <v>37823</v>
      </c>
      <c r="I11" s="19">
        <f t="shared" si="0"/>
        <v>3171</v>
      </c>
      <c r="J11">
        <v>128.3545816733068</v>
      </c>
      <c r="K11">
        <v>11.908366533864539</v>
      </c>
      <c r="L11">
        <v>10.29482071713147</v>
      </c>
      <c r="M11">
        <v>0.70517928286852594</v>
      </c>
      <c r="N11">
        <v>0.11155378486055779</v>
      </c>
      <c r="O11">
        <v>1.9920318725099601E-2</v>
      </c>
      <c r="P11">
        <v>128.11553784860561</v>
      </c>
      <c r="Q11" t="s">
        <v>56</v>
      </c>
      <c r="R11">
        <v>42.629482071713149</v>
      </c>
      <c r="S11">
        <v>32217</v>
      </c>
      <c r="T11">
        <v>2989</v>
      </c>
      <c r="U11">
        <v>35206</v>
      </c>
      <c r="V11">
        <v>2275</v>
      </c>
      <c r="W11">
        <v>177</v>
      </c>
      <c r="X11">
        <v>2584</v>
      </c>
      <c r="Y11">
        <v>28</v>
      </c>
      <c r="Z11">
        <v>5</v>
      </c>
      <c r="AA11">
        <v>33</v>
      </c>
    </row>
    <row r="12" spans="1:27" x14ac:dyDescent="0.35">
      <c r="A12" s="19">
        <v>34</v>
      </c>
      <c r="B12" t="s">
        <v>21</v>
      </c>
      <c r="C12" t="s">
        <v>22</v>
      </c>
      <c r="D12" s="19" t="s">
        <v>63</v>
      </c>
      <c r="E12" t="s">
        <v>66</v>
      </c>
      <c r="F12">
        <f>(E12-D12)</f>
        <v>35359989160</v>
      </c>
      <c r="G12">
        <f>(E12/D12)*100</f>
        <v>126.8899505319056</v>
      </c>
      <c r="H12">
        <v>37887</v>
      </c>
      <c r="I12" s="19">
        <f t="shared" si="0"/>
        <v>3168</v>
      </c>
      <c r="J12">
        <v>128.7250996015936</v>
      </c>
      <c r="K12">
        <v>11.749003984063741</v>
      </c>
      <c r="L12">
        <v>10.31075697211155</v>
      </c>
      <c r="M12">
        <v>0.86454183266932272</v>
      </c>
      <c r="N12">
        <v>0.151394422310757</v>
      </c>
      <c r="O12">
        <v>7.9681274900398405E-3</v>
      </c>
      <c r="P12">
        <v>128.207171314741</v>
      </c>
      <c r="Q12" t="s">
        <v>31</v>
      </c>
      <c r="R12">
        <v>32.270916334661351</v>
      </c>
      <c r="S12">
        <v>32310</v>
      </c>
      <c r="T12">
        <v>2949</v>
      </c>
      <c r="U12">
        <v>35259</v>
      </c>
      <c r="V12">
        <v>2211</v>
      </c>
      <c r="W12">
        <v>217</v>
      </c>
      <c r="X12" s="19">
        <v>2588</v>
      </c>
      <c r="Y12">
        <v>38</v>
      </c>
      <c r="Z12">
        <v>2</v>
      </c>
      <c r="AA12" s="19">
        <v>40</v>
      </c>
    </row>
    <row r="13" spans="1:27" x14ac:dyDescent="0.35">
      <c r="A13" s="19">
        <v>12</v>
      </c>
      <c r="B13" t="s">
        <v>21</v>
      </c>
      <c r="C13" t="s">
        <v>22</v>
      </c>
      <c r="D13" s="14" t="s">
        <v>23</v>
      </c>
      <c r="E13" t="s">
        <v>54</v>
      </c>
      <c r="F13">
        <f>(E13-D13)</f>
        <v>39795784920</v>
      </c>
      <c r="G13">
        <f>(E13/D13)*100</f>
        <v>130.28112528970809</v>
      </c>
      <c r="H13">
        <v>37906</v>
      </c>
      <c r="I13" s="19">
        <f t="shared" si="0"/>
        <v>3166</v>
      </c>
      <c r="J13">
        <v>128.71713147410361</v>
      </c>
      <c r="K13">
        <v>11.812749003984059</v>
      </c>
      <c r="L13">
        <v>10.30278884462151</v>
      </c>
      <c r="M13">
        <v>0.79681274900398402</v>
      </c>
      <c r="N13">
        <v>0.18326693227091631</v>
      </c>
      <c r="O13">
        <v>3.9840637450199202E-3</v>
      </c>
      <c r="P13">
        <v>128.13545816733071</v>
      </c>
      <c r="Q13" t="s">
        <v>25</v>
      </c>
      <c r="R13">
        <v>34.661354581673308</v>
      </c>
      <c r="S13">
        <v>32308</v>
      </c>
      <c r="T13">
        <v>2965</v>
      </c>
      <c r="U13">
        <v>35273</v>
      </c>
      <c r="V13">
        <v>2198</v>
      </c>
      <c r="W13">
        <v>200</v>
      </c>
      <c r="X13" s="19">
        <v>2586</v>
      </c>
      <c r="Y13">
        <v>46</v>
      </c>
      <c r="Z13">
        <v>1</v>
      </c>
      <c r="AA13" s="19">
        <v>47</v>
      </c>
    </row>
    <row r="14" spans="1:27" x14ac:dyDescent="0.35">
      <c r="A14">
        <v>24</v>
      </c>
      <c r="B14" t="s">
        <v>21</v>
      </c>
      <c r="C14" t="s">
        <v>22</v>
      </c>
      <c r="D14" s="14" t="s">
        <v>23</v>
      </c>
      <c r="E14" t="s">
        <v>39</v>
      </c>
      <c r="F14">
        <f>(E14-D14)</f>
        <v>26390302240</v>
      </c>
      <c r="G14">
        <f>(E14/D14)*100</f>
        <v>120.08072086451268</v>
      </c>
      <c r="H14">
        <v>37808</v>
      </c>
      <c r="I14" s="19">
        <f t="shared" si="0"/>
        <v>3165</v>
      </c>
      <c r="J14">
        <v>128.36254980079681</v>
      </c>
      <c r="K14">
        <v>11.7808764940239</v>
      </c>
      <c r="L14">
        <v>10.342629482071709</v>
      </c>
      <c r="M14">
        <v>0.82868525896414347</v>
      </c>
      <c r="N14">
        <v>0.14342629482071709</v>
      </c>
      <c r="O14">
        <v>0</v>
      </c>
      <c r="P14">
        <v>128.13944223107569</v>
      </c>
      <c r="Q14" t="s">
        <v>40</v>
      </c>
      <c r="R14">
        <v>31.075697211155379</v>
      </c>
      <c r="S14">
        <v>32219</v>
      </c>
      <c r="T14">
        <v>2957</v>
      </c>
      <c r="U14">
        <v>35176</v>
      </c>
      <c r="V14">
        <v>2244</v>
      </c>
      <c r="W14">
        <v>208</v>
      </c>
      <c r="X14">
        <v>2596</v>
      </c>
      <c r="Y14">
        <v>36</v>
      </c>
      <c r="Z14">
        <v>0</v>
      </c>
      <c r="AA14">
        <v>36</v>
      </c>
    </row>
    <row r="15" spans="1:27" x14ac:dyDescent="0.35">
      <c r="A15" s="19">
        <v>37</v>
      </c>
      <c r="B15" t="s">
        <v>21</v>
      </c>
      <c r="C15" t="s">
        <v>22</v>
      </c>
      <c r="D15" s="19" t="s">
        <v>63</v>
      </c>
      <c r="E15" t="s">
        <v>69</v>
      </c>
      <c r="F15">
        <f>(E15-D15)</f>
        <v>35971527040</v>
      </c>
      <c r="G15">
        <f>(E15/D15)*100</f>
        <v>127.35500223956247</v>
      </c>
      <c r="H15">
        <v>37858</v>
      </c>
      <c r="I15" s="19">
        <f t="shared" si="0"/>
        <v>3165</v>
      </c>
      <c r="J15">
        <v>128.58964143426289</v>
      </c>
      <c r="K15">
        <v>11.768924302788839</v>
      </c>
      <c r="L15">
        <v>10.31872509960159</v>
      </c>
      <c r="M15">
        <v>0.82071713147410363</v>
      </c>
      <c r="N15">
        <v>0.13147410358565739</v>
      </c>
      <c r="O15">
        <v>1.9920318725099601E-2</v>
      </c>
      <c r="P15">
        <v>128.21912350597611</v>
      </c>
      <c r="Q15" t="s">
        <v>70</v>
      </c>
      <c r="R15">
        <v>35.458167330677291</v>
      </c>
      <c r="S15">
        <v>32276</v>
      </c>
      <c r="T15">
        <v>2954</v>
      </c>
      <c r="U15">
        <v>35230</v>
      </c>
      <c r="V15">
        <v>2232</v>
      </c>
      <c r="W15">
        <v>206</v>
      </c>
      <c r="X15" s="19">
        <v>2590</v>
      </c>
      <c r="Y15">
        <v>33</v>
      </c>
      <c r="Z15">
        <v>5</v>
      </c>
      <c r="AA15" s="19">
        <v>38</v>
      </c>
    </row>
    <row r="16" spans="1:27" x14ac:dyDescent="0.35">
      <c r="A16">
        <v>23</v>
      </c>
      <c r="B16" t="s">
        <v>21</v>
      </c>
      <c r="C16" t="s">
        <v>22</v>
      </c>
      <c r="D16" s="14" t="s">
        <v>23</v>
      </c>
      <c r="E16" t="s">
        <v>49</v>
      </c>
      <c r="F16">
        <f>(E16-D16)</f>
        <v>29686892100</v>
      </c>
      <c r="G16">
        <f>(E16/D16)*100</f>
        <v>122.58913854694097</v>
      </c>
      <c r="H16">
        <v>37813</v>
      </c>
      <c r="I16" s="19">
        <f t="shared" si="0"/>
        <v>3163</v>
      </c>
      <c r="J16">
        <v>128.42629482071709</v>
      </c>
      <c r="K16">
        <v>11.7609561752988</v>
      </c>
      <c r="L16">
        <v>10.322709163346611</v>
      </c>
      <c r="M16">
        <v>0.82868525896414347</v>
      </c>
      <c r="N16">
        <v>0.12749003984063739</v>
      </c>
      <c r="O16">
        <v>1.1952191235059761E-2</v>
      </c>
      <c r="P16">
        <v>128.14741035856571</v>
      </c>
      <c r="Q16" t="s">
        <v>50</v>
      </c>
      <c r="R16">
        <v>32.669322709163353</v>
      </c>
      <c r="S16">
        <v>32235</v>
      </c>
      <c r="T16">
        <v>2952</v>
      </c>
      <c r="U16">
        <v>35187</v>
      </c>
      <c r="V16">
        <v>2243</v>
      </c>
      <c r="W16">
        <v>208</v>
      </c>
      <c r="X16">
        <v>2591</v>
      </c>
      <c r="Y16">
        <v>32</v>
      </c>
      <c r="Z16">
        <v>3</v>
      </c>
      <c r="AA16">
        <v>35</v>
      </c>
    </row>
    <row r="17" spans="1:27" x14ac:dyDescent="0.35">
      <c r="A17" s="18">
        <v>15</v>
      </c>
      <c r="B17" t="s">
        <v>21</v>
      </c>
      <c r="C17" t="s">
        <v>22</v>
      </c>
      <c r="D17" s="14" t="s">
        <v>23</v>
      </c>
      <c r="E17" t="s">
        <v>34</v>
      </c>
      <c r="F17">
        <f>(E17-D17)</f>
        <v>55319762920</v>
      </c>
      <c r="G17">
        <f>(E17/D17)*100</f>
        <v>142.09352008874677</v>
      </c>
      <c r="H17">
        <v>37866</v>
      </c>
      <c r="I17" s="19">
        <f t="shared" si="0"/>
        <v>3155</v>
      </c>
      <c r="J17">
        <v>128.69721115537851</v>
      </c>
      <c r="K17">
        <v>11.60956175298805</v>
      </c>
      <c r="L17">
        <v>10.366533864541831</v>
      </c>
      <c r="M17">
        <v>0.92828685258964139</v>
      </c>
      <c r="N17">
        <v>0.15537848605577689</v>
      </c>
      <c r="O17">
        <v>3.1872509960159362E-2</v>
      </c>
      <c r="P17">
        <v>128.17928286852589</v>
      </c>
      <c r="Q17" t="s">
        <v>35</v>
      </c>
      <c r="R17">
        <v>25.099601593625501</v>
      </c>
      <c r="S17">
        <v>32303</v>
      </c>
      <c r="T17">
        <v>2914</v>
      </c>
      <c r="U17">
        <v>35217</v>
      </c>
      <c r="V17">
        <v>2181</v>
      </c>
      <c r="W17">
        <v>233</v>
      </c>
      <c r="X17" s="11">
        <v>2602</v>
      </c>
      <c r="Y17">
        <v>39</v>
      </c>
      <c r="Z17">
        <v>8</v>
      </c>
      <c r="AA17" s="11">
        <v>47</v>
      </c>
    </row>
    <row r="18" spans="1:27" x14ac:dyDescent="0.35">
      <c r="A18">
        <v>30</v>
      </c>
      <c r="B18" t="s">
        <v>21</v>
      </c>
      <c r="C18" t="s">
        <v>22</v>
      </c>
      <c r="D18" s="19" t="s">
        <v>23</v>
      </c>
      <c r="E18" t="s">
        <v>57</v>
      </c>
      <c r="F18">
        <f>(E18-D18)</f>
        <v>35889415260</v>
      </c>
      <c r="G18">
        <f>(E18/D18)*100</f>
        <v>127.30871830388865</v>
      </c>
      <c r="H18">
        <v>37854</v>
      </c>
      <c r="I18" s="19">
        <f t="shared" si="0"/>
        <v>3155</v>
      </c>
      <c r="J18">
        <v>128.68127490039839</v>
      </c>
      <c r="K18">
        <v>11.685258964143429</v>
      </c>
      <c r="L18">
        <v>10.290836653386449</v>
      </c>
      <c r="M18">
        <v>0.87250996015936255</v>
      </c>
      <c r="N18">
        <v>0.14342629482071709</v>
      </c>
      <c r="O18">
        <v>1.1952191235059761E-2</v>
      </c>
      <c r="P18">
        <v>128.17928286852589</v>
      </c>
      <c r="Q18" t="s">
        <v>58</v>
      </c>
      <c r="R18">
        <v>31.872509960159359</v>
      </c>
      <c r="S18">
        <v>32299</v>
      </c>
      <c r="T18">
        <v>2933</v>
      </c>
      <c r="U18">
        <v>35232</v>
      </c>
      <c r="V18">
        <v>2208</v>
      </c>
      <c r="W18">
        <v>219</v>
      </c>
      <c r="X18">
        <v>2583</v>
      </c>
      <c r="Y18">
        <v>36</v>
      </c>
      <c r="Z18">
        <v>3</v>
      </c>
      <c r="AA18">
        <v>39</v>
      </c>
    </row>
    <row r="19" spans="1:27" x14ac:dyDescent="0.35">
      <c r="A19" s="19">
        <v>17</v>
      </c>
      <c r="B19" t="s">
        <v>21</v>
      </c>
      <c r="C19" t="s">
        <v>22</v>
      </c>
      <c r="D19" s="14" t="s">
        <v>23</v>
      </c>
      <c r="E19" t="s">
        <v>47</v>
      </c>
      <c r="F19">
        <f>(E19-D19)</f>
        <v>39608412840</v>
      </c>
      <c r="G19">
        <f>(E19/D19)*100</f>
        <v>130.13855146080436</v>
      </c>
      <c r="H19">
        <v>37850</v>
      </c>
      <c r="I19" s="19">
        <f t="shared" si="0"/>
        <v>3140</v>
      </c>
      <c r="J19">
        <v>128.6414342629482</v>
      </c>
      <c r="K19">
        <v>11.66135458167331</v>
      </c>
      <c r="L19">
        <v>10.32669322709163</v>
      </c>
      <c r="M19">
        <v>0.83266932270916338</v>
      </c>
      <c r="N19">
        <v>0.151394422310757</v>
      </c>
      <c r="O19">
        <v>1.5936254980079681E-2</v>
      </c>
      <c r="P19">
        <v>128.23904382470121</v>
      </c>
      <c r="Q19" t="s">
        <v>48</v>
      </c>
      <c r="R19">
        <v>29.482071713147409</v>
      </c>
      <c r="S19">
        <v>32289</v>
      </c>
      <c r="T19">
        <v>2927</v>
      </c>
      <c r="U19">
        <v>35216</v>
      </c>
      <c r="V19">
        <v>2215</v>
      </c>
      <c r="W19">
        <v>209</v>
      </c>
      <c r="X19" s="19">
        <v>2592</v>
      </c>
      <c r="Y19">
        <v>38</v>
      </c>
      <c r="Z19">
        <v>4</v>
      </c>
      <c r="AA19" s="19">
        <v>42</v>
      </c>
    </row>
    <row r="20" spans="1:27" x14ac:dyDescent="0.35">
      <c r="A20" s="27">
        <v>10</v>
      </c>
      <c r="B20" t="s">
        <v>21</v>
      </c>
      <c r="C20">
        <v>251</v>
      </c>
      <c r="D20" s="19" t="s">
        <v>61</v>
      </c>
      <c r="E20" t="s">
        <v>62</v>
      </c>
      <c r="F20">
        <f>(E20-D20)</f>
        <v>51662243640</v>
      </c>
      <c r="G20">
        <f>(E20/D20)*100</f>
        <v>139.62621328147634</v>
      </c>
      <c r="H20">
        <v>37417</v>
      </c>
      <c r="I20" s="19">
        <f t="shared" si="0"/>
        <v>3131</v>
      </c>
      <c r="J20">
        <v>127.78486055776889</v>
      </c>
      <c r="K20">
        <v>11.64541832669323</v>
      </c>
      <c r="L20">
        <v>8.6374501992031867</v>
      </c>
      <c r="M20">
        <v>0.80478087649402386</v>
      </c>
      <c r="N20">
        <v>0.1752988047808765</v>
      </c>
      <c r="O20">
        <v>2.3904382470119521E-2</v>
      </c>
      <c r="P20">
        <v>127.1513944223108</v>
      </c>
      <c r="Q20" t="s">
        <v>40</v>
      </c>
      <c r="R20">
        <v>31.075697211155379</v>
      </c>
      <c r="S20">
        <v>32074</v>
      </c>
      <c r="T20">
        <v>2923</v>
      </c>
      <c r="U20">
        <v>34997</v>
      </c>
      <c r="V20">
        <v>2168</v>
      </c>
      <c r="W20">
        <v>202</v>
      </c>
      <c r="X20" s="19">
        <v>2370</v>
      </c>
      <c r="Y20">
        <v>44</v>
      </c>
      <c r="Z20">
        <v>6</v>
      </c>
      <c r="AA20" s="12">
        <v>50</v>
      </c>
    </row>
    <row r="21" spans="1:27" x14ac:dyDescent="0.35">
      <c r="A21">
        <v>36</v>
      </c>
      <c r="B21" t="s">
        <v>21</v>
      </c>
      <c r="C21" t="s">
        <v>22</v>
      </c>
      <c r="D21" s="19" t="s">
        <v>63</v>
      </c>
      <c r="E21" t="s">
        <v>68</v>
      </c>
      <c r="F21">
        <f>(E21-D21)</f>
        <v>48151148180</v>
      </c>
      <c r="G21">
        <f>(E21/D21)*100</f>
        <v>136.6171490255812</v>
      </c>
      <c r="H21">
        <v>37914</v>
      </c>
      <c r="I21" s="19">
        <f t="shared" si="0"/>
        <v>3127</v>
      </c>
      <c r="J21">
        <v>128.90438247011949</v>
      </c>
      <c r="K21">
        <v>11.613545816733071</v>
      </c>
      <c r="L21">
        <v>10.34661354581673</v>
      </c>
      <c r="M21">
        <v>0.82071713147410363</v>
      </c>
      <c r="N21">
        <v>0.1633466135458167</v>
      </c>
      <c r="O21">
        <v>2.3904382470119521E-2</v>
      </c>
      <c r="P21">
        <v>128.37051792828689</v>
      </c>
      <c r="Q21" t="s">
        <v>31</v>
      </c>
      <c r="R21">
        <v>32.270916334661351</v>
      </c>
      <c r="S21">
        <v>32355</v>
      </c>
      <c r="T21">
        <v>2915</v>
      </c>
      <c r="U21">
        <v>35270</v>
      </c>
      <c r="V21">
        <v>2203</v>
      </c>
      <c r="W21">
        <v>206</v>
      </c>
      <c r="X21">
        <v>2597</v>
      </c>
      <c r="Y21">
        <v>41</v>
      </c>
      <c r="Z21">
        <v>6</v>
      </c>
      <c r="AA21">
        <v>47</v>
      </c>
    </row>
    <row r="22" spans="1:27" x14ac:dyDescent="0.35">
      <c r="A22" s="19">
        <v>19</v>
      </c>
      <c r="B22" t="s">
        <v>21</v>
      </c>
      <c r="C22" t="s">
        <v>22</v>
      </c>
      <c r="D22" s="14" t="s">
        <v>23</v>
      </c>
      <c r="E22" t="s">
        <v>43</v>
      </c>
      <c r="F22">
        <f>(E22-D22)</f>
        <v>22537887980</v>
      </c>
      <c r="G22">
        <f>(E22/D22)*100</f>
        <v>117.14936923746409</v>
      </c>
      <c r="H22">
        <v>37811</v>
      </c>
      <c r="I22" s="19">
        <f t="shared" si="0"/>
        <v>3112</v>
      </c>
      <c r="J22">
        <v>128.53386454183271</v>
      </c>
      <c r="K22">
        <v>11.64541832669323</v>
      </c>
      <c r="L22">
        <v>10.33067729083665</v>
      </c>
      <c r="M22">
        <v>0.7450199203187251</v>
      </c>
      <c r="N22">
        <v>0.1235059760956175</v>
      </c>
      <c r="O22">
        <v>7.9681274900398405E-3</v>
      </c>
      <c r="P22">
        <v>128.35059760956179</v>
      </c>
      <c r="Q22" t="s">
        <v>44</v>
      </c>
      <c r="R22">
        <v>39.04382470119522</v>
      </c>
      <c r="S22">
        <v>32262</v>
      </c>
      <c r="T22">
        <v>2923</v>
      </c>
      <c r="U22">
        <v>35185</v>
      </c>
      <c r="V22">
        <v>2274</v>
      </c>
      <c r="W22">
        <v>187</v>
      </c>
      <c r="X22" s="19">
        <v>2593</v>
      </c>
      <c r="Y22">
        <v>31</v>
      </c>
      <c r="Z22">
        <v>2</v>
      </c>
      <c r="AA22" s="19">
        <v>33</v>
      </c>
    </row>
    <row r="23" spans="1:27" x14ac:dyDescent="0.35">
      <c r="A23">
        <v>33</v>
      </c>
      <c r="B23" t="s">
        <v>21</v>
      </c>
      <c r="C23" t="s">
        <v>22</v>
      </c>
      <c r="D23" s="19" t="s">
        <v>63</v>
      </c>
      <c r="E23" t="s">
        <v>65</v>
      </c>
      <c r="F23">
        <f>(E23-D23)</f>
        <v>39441023080</v>
      </c>
      <c r="G23">
        <f>(E23/D23)*100</f>
        <v>129.99342434043174</v>
      </c>
      <c r="H23">
        <v>37924</v>
      </c>
      <c r="I23" s="19">
        <f t="shared" si="0"/>
        <v>3104</v>
      </c>
      <c r="J23">
        <v>129.04780876494021</v>
      </c>
      <c r="K23">
        <v>11.533864541832671</v>
      </c>
      <c r="L23">
        <v>10.32669322709163</v>
      </c>
      <c r="M23">
        <v>0.82868525896414347</v>
      </c>
      <c r="N23">
        <v>0.17928286852589639</v>
      </c>
      <c r="O23">
        <v>3.9840637450199202E-3</v>
      </c>
      <c r="P23">
        <v>128.46215139442231</v>
      </c>
      <c r="Q23" t="s">
        <v>31</v>
      </c>
      <c r="R23">
        <v>32.270916334661351</v>
      </c>
      <c r="S23">
        <v>32391</v>
      </c>
      <c r="T23">
        <v>2895</v>
      </c>
      <c r="U23">
        <v>35286</v>
      </c>
      <c r="V23">
        <v>2200</v>
      </c>
      <c r="W23">
        <v>208</v>
      </c>
      <c r="X23">
        <v>2592</v>
      </c>
      <c r="Y23">
        <v>45</v>
      </c>
      <c r="Z23">
        <v>1</v>
      </c>
      <c r="AA23">
        <v>46</v>
      </c>
    </row>
    <row r="24" spans="1:27" x14ac:dyDescent="0.35">
      <c r="A24" s="19">
        <v>35</v>
      </c>
      <c r="B24" t="s">
        <v>21</v>
      </c>
      <c r="C24" t="s">
        <v>22</v>
      </c>
      <c r="D24" s="19" t="s">
        <v>63</v>
      </c>
      <c r="E24" t="s">
        <v>67</v>
      </c>
      <c r="F24">
        <f>(E24-D24)</f>
        <v>33233242100</v>
      </c>
      <c r="G24">
        <f>(E24/D24)*100</f>
        <v>125.272638858576</v>
      </c>
      <c r="H24">
        <v>37875</v>
      </c>
      <c r="I24" s="19">
        <f t="shared" si="0"/>
        <v>3104</v>
      </c>
      <c r="J24">
        <v>128.88446215139439</v>
      </c>
      <c r="K24">
        <v>11.553784860557769</v>
      </c>
      <c r="L24">
        <v>10.306772908366529</v>
      </c>
      <c r="M24">
        <v>0.79681274900398402</v>
      </c>
      <c r="N24">
        <v>0.13545816733067731</v>
      </c>
      <c r="O24">
        <v>1.5936254980079681E-2</v>
      </c>
      <c r="P24">
        <v>128.46215139442231</v>
      </c>
      <c r="Q24" t="s">
        <v>25</v>
      </c>
      <c r="R24">
        <v>34.661354581673308</v>
      </c>
      <c r="S24">
        <v>32350</v>
      </c>
      <c r="T24">
        <v>2900</v>
      </c>
      <c r="U24">
        <v>35250</v>
      </c>
      <c r="V24">
        <v>2235</v>
      </c>
      <c r="W24">
        <v>200</v>
      </c>
      <c r="X24" s="19">
        <v>2587</v>
      </c>
      <c r="Y24">
        <v>34</v>
      </c>
      <c r="Z24">
        <v>4</v>
      </c>
      <c r="AA24" s="19">
        <v>38</v>
      </c>
    </row>
    <row r="25" spans="1:27" x14ac:dyDescent="0.35">
      <c r="A25" s="19">
        <v>25</v>
      </c>
      <c r="B25" t="s">
        <v>21</v>
      </c>
      <c r="C25" t="s">
        <v>22</v>
      </c>
      <c r="D25" s="14" t="s">
        <v>23</v>
      </c>
      <c r="E25" t="s">
        <v>45</v>
      </c>
      <c r="F25">
        <f>(E25-D25)</f>
        <v>34633604380</v>
      </c>
      <c r="G25">
        <f>(E25/D25)*100</f>
        <v>126.3531556312613</v>
      </c>
      <c r="H25">
        <v>37851</v>
      </c>
      <c r="I25" s="19">
        <f t="shared" si="0"/>
        <v>3097</v>
      </c>
      <c r="J25">
        <v>128.83266932270919</v>
      </c>
      <c r="K25">
        <v>11.474103585657369</v>
      </c>
      <c r="L25">
        <v>10.33067729083665</v>
      </c>
      <c r="M25">
        <v>0.8605577689243028</v>
      </c>
      <c r="N25">
        <v>0.15936254980079681</v>
      </c>
      <c r="O25">
        <v>3.9840637450199202E-3</v>
      </c>
      <c r="P25">
        <v>128.41035856573711</v>
      </c>
      <c r="Q25" t="s">
        <v>40</v>
      </c>
      <c r="R25">
        <v>31.075697211155379</v>
      </c>
      <c r="S25">
        <v>32337</v>
      </c>
      <c r="T25">
        <v>2880</v>
      </c>
      <c r="U25">
        <v>35217</v>
      </c>
      <c r="V25">
        <v>2213</v>
      </c>
      <c r="W25">
        <v>216</v>
      </c>
      <c r="X25" s="19">
        <v>2593</v>
      </c>
      <c r="Y25">
        <v>40</v>
      </c>
      <c r="Z25">
        <v>1</v>
      </c>
      <c r="AA25" s="19">
        <v>41</v>
      </c>
    </row>
    <row r="26" spans="1:27" x14ac:dyDescent="0.35">
      <c r="A26">
        <v>11</v>
      </c>
      <c r="B26" t="s">
        <v>21</v>
      </c>
      <c r="C26" t="s">
        <v>22</v>
      </c>
      <c r="D26" s="14" t="s">
        <v>23</v>
      </c>
      <c r="E26" t="s">
        <v>37</v>
      </c>
      <c r="F26">
        <f>(E26-D26)</f>
        <v>17220497120</v>
      </c>
      <c r="G26">
        <f>(E26/D26)*100</f>
        <v>113.10329804752037</v>
      </c>
      <c r="H26">
        <v>37789</v>
      </c>
      <c r="I26" s="19">
        <f t="shared" si="0"/>
        <v>3091</v>
      </c>
      <c r="J26">
        <v>128.48605577689241</v>
      </c>
      <c r="K26">
        <v>11.597609561752989</v>
      </c>
      <c r="L26">
        <v>10.342629482071709</v>
      </c>
      <c r="M26">
        <v>0.71713147410358569</v>
      </c>
      <c r="N26">
        <v>0.12749003984063739</v>
      </c>
      <c r="O26">
        <v>0</v>
      </c>
      <c r="P26">
        <v>128.43426294820719</v>
      </c>
      <c r="Q26" t="s">
        <v>38</v>
      </c>
      <c r="R26">
        <v>37.450199203187253</v>
      </c>
      <c r="S26">
        <v>32250</v>
      </c>
      <c r="T26">
        <v>2911</v>
      </c>
      <c r="U26">
        <v>35161</v>
      </c>
      <c r="V26">
        <v>2288</v>
      </c>
      <c r="W26">
        <v>180</v>
      </c>
      <c r="X26" s="19">
        <v>2596</v>
      </c>
      <c r="Y26">
        <v>32</v>
      </c>
      <c r="Z26">
        <v>0</v>
      </c>
      <c r="AA26">
        <v>32</v>
      </c>
    </row>
    <row r="27" spans="1:27" x14ac:dyDescent="0.35">
      <c r="A27" s="19">
        <v>28</v>
      </c>
      <c r="B27" t="s">
        <v>21</v>
      </c>
      <c r="C27" t="s">
        <v>22</v>
      </c>
      <c r="D27" s="14" t="s">
        <v>23</v>
      </c>
      <c r="E27" t="s">
        <v>36</v>
      </c>
      <c r="F27">
        <f>(E27-D27)</f>
        <v>36266941760</v>
      </c>
      <c r="G27">
        <f>(E27/D27)*100</f>
        <v>127.59598308003686</v>
      </c>
      <c r="H27">
        <v>37874</v>
      </c>
      <c r="I27" s="19">
        <f t="shared" si="0"/>
        <v>3086</v>
      </c>
      <c r="J27">
        <v>128.796812749004</v>
      </c>
      <c r="K27">
        <v>11.55776892430279</v>
      </c>
      <c r="L27">
        <v>10.358565737051791</v>
      </c>
      <c r="M27">
        <v>0.72908366533864544</v>
      </c>
      <c r="N27">
        <v>0.17131474103585659</v>
      </c>
      <c r="O27">
        <v>7.9681274900398405E-3</v>
      </c>
      <c r="P27">
        <v>128.45418326693229</v>
      </c>
      <c r="Q27" t="s">
        <v>25</v>
      </c>
      <c r="R27">
        <v>34.661354581673308</v>
      </c>
      <c r="S27">
        <v>32328</v>
      </c>
      <c r="T27">
        <v>2901</v>
      </c>
      <c r="U27">
        <v>35229</v>
      </c>
      <c r="V27">
        <v>2237</v>
      </c>
      <c r="W27">
        <v>183</v>
      </c>
      <c r="X27" s="19">
        <v>2600</v>
      </c>
      <c r="Y27">
        <v>43</v>
      </c>
      <c r="Z27">
        <v>2</v>
      </c>
      <c r="AA27" s="19">
        <v>45</v>
      </c>
    </row>
    <row r="28" spans="1:27" x14ac:dyDescent="0.35">
      <c r="A28" s="18">
        <v>31</v>
      </c>
      <c r="B28" t="s">
        <v>21</v>
      </c>
      <c r="C28" t="s">
        <v>22</v>
      </c>
      <c r="D28" s="19" t="s">
        <v>23</v>
      </c>
      <c r="E28" t="s">
        <v>41</v>
      </c>
      <c r="F28">
        <f>(E28-D28)</f>
        <v>38523848680</v>
      </c>
      <c r="G28">
        <f>(E28/D28)*100</f>
        <v>129.31329262297245</v>
      </c>
      <c r="H28">
        <v>37883</v>
      </c>
      <c r="I28" s="19">
        <f t="shared" si="0"/>
        <v>3086</v>
      </c>
      <c r="J28">
        <v>128.84860557768931</v>
      </c>
      <c r="K28">
        <v>11.553784860557769</v>
      </c>
      <c r="L28">
        <v>10.334661354581669</v>
      </c>
      <c r="M28">
        <v>0.73705179282868527</v>
      </c>
      <c r="N28">
        <v>0.18725099601593631</v>
      </c>
      <c r="O28">
        <v>3.9840637450199202E-3</v>
      </c>
      <c r="P28">
        <v>128.45418326693229</v>
      </c>
      <c r="Q28" t="s">
        <v>42</v>
      </c>
      <c r="R28">
        <v>31.474103585657371</v>
      </c>
      <c r="S28">
        <v>32341</v>
      </c>
      <c r="T28">
        <v>2900</v>
      </c>
      <c r="U28">
        <v>35241</v>
      </c>
      <c r="V28">
        <v>2217</v>
      </c>
      <c r="W28">
        <v>185</v>
      </c>
      <c r="X28" s="10">
        <v>2594</v>
      </c>
      <c r="Y28">
        <v>47</v>
      </c>
      <c r="Z28">
        <v>1</v>
      </c>
      <c r="AA28" s="10">
        <v>48</v>
      </c>
    </row>
    <row r="29" spans="1:27" x14ac:dyDescent="0.35">
      <c r="A29" s="19">
        <v>29</v>
      </c>
      <c r="B29" t="s">
        <v>21</v>
      </c>
      <c r="C29" t="s">
        <v>22</v>
      </c>
      <c r="D29" s="14" t="s">
        <v>23</v>
      </c>
      <c r="E29" t="s">
        <v>26</v>
      </c>
      <c r="F29">
        <f>(E29-D29)</f>
        <v>35399896360</v>
      </c>
      <c r="G29">
        <f>(E29/D29)*100</f>
        <v>126.93623706819051</v>
      </c>
      <c r="H29">
        <v>37826</v>
      </c>
      <c r="I29" s="19">
        <f t="shared" si="0"/>
        <v>3082</v>
      </c>
      <c r="J29">
        <v>128.70119521912349</v>
      </c>
      <c r="K29">
        <v>11.446215139442231</v>
      </c>
      <c r="L29">
        <v>10.39840637450199</v>
      </c>
      <c r="M29">
        <v>0.81673306772908372</v>
      </c>
      <c r="N29">
        <v>0.1394422310756972</v>
      </c>
      <c r="O29">
        <v>1.5936254980079681E-2</v>
      </c>
      <c r="P29">
        <v>128.47011952191241</v>
      </c>
      <c r="Q29" t="s">
        <v>27</v>
      </c>
      <c r="R29">
        <v>33.864541832669318</v>
      </c>
      <c r="S29">
        <v>32304</v>
      </c>
      <c r="T29">
        <v>2873</v>
      </c>
      <c r="U29">
        <v>35177</v>
      </c>
      <c r="V29">
        <v>2249</v>
      </c>
      <c r="W29">
        <v>205</v>
      </c>
      <c r="X29" s="12">
        <v>2610</v>
      </c>
      <c r="Y29">
        <v>35</v>
      </c>
      <c r="Z29">
        <v>4</v>
      </c>
      <c r="AA29" s="19">
        <v>39</v>
      </c>
    </row>
    <row r="30" spans="1:27" x14ac:dyDescent="0.35">
      <c r="A30">
        <v>18</v>
      </c>
      <c r="B30" t="s">
        <v>21</v>
      </c>
      <c r="C30" t="s">
        <v>22</v>
      </c>
      <c r="D30" s="14" t="s">
        <v>23</v>
      </c>
      <c r="E30" t="s">
        <v>30</v>
      </c>
      <c r="F30">
        <f>(E30-D30)</f>
        <v>39382722640</v>
      </c>
      <c r="G30">
        <f>(E30/D30)*100</f>
        <v>129.96682088087991</v>
      </c>
      <c r="H30">
        <v>37833</v>
      </c>
      <c r="I30" s="19">
        <f t="shared" si="0"/>
        <v>3076</v>
      </c>
      <c r="J30">
        <v>128.8167330677291</v>
      </c>
      <c r="K30">
        <v>11.37450199203187</v>
      </c>
      <c r="L30">
        <v>10.37450199203187</v>
      </c>
      <c r="M30">
        <v>0.86454183266932272</v>
      </c>
      <c r="N30">
        <v>0.14741035856573709</v>
      </c>
      <c r="O30">
        <v>1.5936254980079681E-2</v>
      </c>
      <c r="P30">
        <v>128.49402390438249</v>
      </c>
      <c r="Q30" t="s">
        <v>31</v>
      </c>
      <c r="R30">
        <v>32.270916334661351</v>
      </c>
      <c r="S30">
        <v>32333</v>
      </c>
      <c r="T30">
        <v>2855</v>
      </c>
      <c r="U30">
        <v>35188</v>
      </c>
      <c r="V30">
        <v>2223</v>
      </c>
      <c r="W30">
        <v>217</v>
      </c>
      <c r="X30">
        <v>2604</v>
      </c>
      <c r="Y30">
        <v>37</v>
      </c>
      <c r="Z30">
        <v>4</v>
      </c>
      <c r="AA30">
        <v>41</v>
      </c>
    </row>
    <row r="31" spans="1:27" x14ac:dyDescent="0.35">
      <c r="A31" s="18">
        <v>27</v>
      </c>
      <c r="B31" t="s">
        <v>21</v>
      </c>
      <c r="C31" t="s">
        <v>22</v>
      </c>
      <c r="D31" s="14" t="s">
        <v>23</v>
      </c>
      <c r="E31" t="s">
        <v>28</v>
      </c>
      <c r="F31">
        <f>(E31-D31)</f>
        <v>39011994440</v>
      </c>
      <c r="G31">
        <f>(E31/D31)*100</f>
        <v>129.68472901875947</v>
      </c>
      <c r="H31">
        <v>37873</v>
      </c>
      <c r="I31" s="19">
        <f t="shared" si="0"/>
        <v>3075</v>
      </c>
      <c r="J31">
        <v>128.85258964143429</v>
      </c>
      <c r="K31">
        <v>11.466135458167329</v>
      </c>
      <c r="L31">
        <v>10.38247011952191</v>
      </c>
      <c r="M31">
        <v>0.78087649402390436</v>
      </c>
      <c r="N31">
        <v>0.18326693227091631</v>
      </c>
      <c r="O31">
        <v>3.9840637450199202E-3</v>
      </c>
      <c r="P31">
        <v>128.4980079681275</v>
      </c>
      <c r="Q31" t="s">
        <v>29</v>
      </c>
      <c r="R31">
        <v>33.466135458167329</v>
      </c>
      <c r="S31">
        <v>32342</v>
      </c>
      <c r="T31">
        <v>2878</v>
      </c>
      <c r="U31">
        <v>35220</v>
      </c>
      <c r="V31">
        <v>2222</v>
      </c>
      <c r="W31">
        <v>196</v>
      </c>
      <c r="X31" s="10">
        <v>2606</v>
      </c>
      <c r="Y31">
        <v>46</v>
      </c>
      <c r="Z31">
        <v>1</v>
      </c>
      <c r="AA31" s="11">
        <v>47</v>
      </c>
    </row>
    <row r="32" spans="1:27" x14ac:dyDescent="0.35">
      <c r="A32" s="19">
        <v>26</v>
      </c>
      <c r="B32" t="s">
        <v>21</v>
      </c>
      <c r="C32" t="s">
        <v>22</v>
      </c>
      <c r="D32" s="19" t="s">
        <v>23</v>
      </c>
      <c r="E32" t="s">
        <v>32</v>
      </c>
      <c r="F32">
        <f>(E32-D32)</f>
        <v>39992577160</v>
      </c>
      <c r="G32">
        <f>(E32/D32)*100</f>
        <v>130.43086703968137</v>
      </c>
      <c r="H32">
        <v>37861</v>
      </c>
      <c r="I32" s="19">
        <f t="shared" si="0"/>
        <v>3052</v>
      </c>
      <c r="J32">
        <v>128.97211155378491</v>
      </c>
      <c r="K32">
        <v>11.314741035856571</v>
      </c>
      <c r="L32">
        <v>10.37450199203187</v>
      </c>
      <c r="M32">
        <v>0.8366533864541833</v>
      </c>
      <c r="N32">
        <v>0.17131474103585659</v>
      </c>
      <c r="O32">
        <v>7.9681274900398405E-3</v>
      </c>
      <c r="P32">
        <v>128.58964143426289</v>
      </c>
      <c r="Q32" t="s">
        <v>33</v>
      </c>
      <c r="R32">
        <v>34.262948207171313</v>
      </c>
      <c r="S32">
        <v>32372</v>
      </c>
      <c r="T32">
        <v>2840</v>
      </c>
      <c r="U32">
        <v>35212</v>
      </c>
      <c r="V32">
        <v>2214</v>
      </c>
      <c r="W32">
        <v>210</v>
      </c>
      <c r="X32">
        <v>2604</v>
      </c>
      <c r="Y32">
        <v>43</v>
      </c>
      <c r="Z32">
        <v>2</v>
      </c>
      <c r="AA32" s="19">
        <v>45</v>
      </c>
    </row>
    <row r="33" spans="1:1" x14ac:dyDescent="0.35">
      <c r="A33" s="19">
        <v>40</v>
      </c>
    </row>
    <row r="34" spans="1:1" x14ac:dyDescent="0.35">
      <c r="A34" s="19">
        <v>41</v>
      </c>
    </row>
    <row r="35" spans="1:1" x14ac:dyDescent="0.35">
      <c r="A35" s="19">
        <v>42</v>
      </c>
    </row>
    <row r="36" spans="1:1" x14ac:dyDescent="0.35">
      <c r="A36" s="19">
        <v>43</v>
      </c>
    </row>
    <row r="37" spans="1:1" x14ac:dyDescent="0.35">
      <c r="A37" s="19">
        <v>44</v>
      </c>
    </row>
    <row r="38" spans="1:1" x14ac:dyDescent="0.35">
      <c r="A38" s="19">
        <v>45</v>
      </c>
    </row>
    <row r="39" spans="1:1" x14ac:dyDescent="0.35">
      <c r="A39" s="19">
        <v>46</v>
      </c>
    </row>
    <row r="40" spans="1:1" x14ac:dyDescent="0.35">
      <c r="A40" s="19">
        <v>47</v>
      </c>
    </row>
    <row r="41" spans="1:1" x14ac:dyDescent="0.35">
      <c r="A41" s="19">
        <v>48</v>
      </c>
    </row>
    <row r="42" spans="1:1" x14ac:dyDescent="0.35">
      <c r="A42" s="19">
        <v>49</v>
      </c>
    </row>
    <row r="43" spans="1:1" x14ac:dyDescent="0.35">
      <c r="A43" s="19">
        <v>50</v>
      </c>
    </row>
    <row r="44" spans="1:1" x14ac:dyDescent="0.35">
      <c r="A44" s="19">
        <v>51</v>
      </c>
    </row>
    <row r="45" spans="1:1" x14ac:dyDescent="0.35">
      <c r="A45" s="19">
        <v>52</v>
      </c>
    </row>
    <row r="46" spans="1:1" x14ac:dyDescent="0.35">
      <c r="A46" s="19">
        <v>53</v>
      </c>
    </row>
    <row r="47" spans="1:1" x14ac:dyDescent="0.35">
      <c r="A47" s="19">
        <v>54</v>
      </c>
    </row>
    <row r="48" spans="1:1" x14ac:dyDescent="0.35">
      <c r="A48" s="19">
        <v>55</v>
      </c>
    </row>
    <row r="49" spans="1:1" x14ac:dyDescent="0.35">
      <c r="A49" s="19">
        <v>56</v>
      </c>
    </row>
    <row r="50" spans="1:1" x14ac:dyDescent="0.35">
      <c r="A50" s="19">
        <v>57</v>
      </c>
    </row>
    <row r="51" spans="1:1" x14ac:dyDescent="0.35">
      <c r="A51" s="19">
        <v>58</v>
      </c>
    </row>
    <row r="52" spans="1:1" x14ac:dyDescent="0.35">
      <c r="A52" s="19">
        <v>59</v>
      </c>
    </row>
    <row r="53" spans="1:1" x14ac:dyDescent="0.35">
      <c r="A53" s="19">
        <v>60</v>
      </c>
    </row>
  </sheetData>
  <autoFilter ref="A2:AG2" xr:uid="{00000000-0009-0000-0000-000000000000}">
    <sortState ref="A3:AG53">
      <sortCondition descending="1" ref="I2"/>
    </sortState>
  </autoFilter>
  <mergeCells count="4">
    <mergeCell ref="V1:X1"/>
    <mergeCell ref="Y1:AA1"/>
    <mergeCell ref="J1:P1"/>
    <mergeCell ref="S1:U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2025-12-28T01:44:09Z</dcterms:modified>
</cp:coreProperties>
</file>