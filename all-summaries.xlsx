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'Sheet1'!$A$2:$AV$2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_-;\-* #,##0_-;_-* &quot;-&quot;??_-;_-@_-"/>
    <numFmt numFmtId="165" formatCode="_-* #,##0.00_-;\-* #,##0.00_-;_-* &quot;-&quot;??_-;_-@_-"/>
    <numFmt numFmtId="166" formatCode="0.000"/>
    <numFmt numFmtId="167" formatCode="_-* #,##0.0_-;\-* #,##0.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C00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</fonts>
  <fills count="18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5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2" fillId="0" borderId="0" pivotButton="0" quotePrefix="0" xfId="1"/>
    <xf numFmtId="0" fontId="3" fillId="10" borderId="0" pivotButton="0" quotePrefix="0" xfId="0"/>
    <xf numFmtId="0" fontId="3" fillId="11" borderId="0" pivotButton="0" quotePrefix="0" xfId="0"/>
    <xf numFmtId="0" fontId="0" fillId="12" borderId="0" pivotButton="0" quotePrefix="0" xfId="0"/>
    <xf numFmtId="164" fontId="3" fillId="10" borderId="0" pivotButton="0" quotePrefix="0" xfId="1"/>
    <xf numFmtId="164" fontId="1" fillId="7" borderId="0" applyAlignment="1" pivotButton="0" quotePrefix="0" xfId="1">
      <alignment horizontal="center" vertical="center"/>
    </xf>
    <xf numFmtId="0" fontId="1" fillId="14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4" fillId="13" borderId="0" applyAlignment="1" pivotButton="0" quotePrefix="0" xfId="0">
      <alignment horizontal="center" vertical="center" wrapText="1"/>
    </xf>
    <xf numFmtId="164" fontId="3" fillId="11" borderId="0" pivotButton="0" quotePrefix="0" xfId="1"/>
    <xf numFmtId="2" fontId="3" fillId="1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6" borderId="0" pivotButton="0" quotePrefix="0" xfId="0"/>
    <xf numFmtId="2" fontId="3" fillId="11" borderId="0" pivotButton="0" quotePrefix="0" xfId="0"/>
    <xf numFmtId="0" fontId="0" fillId="15" borderId="0" pivotButton="0" quotePrefix="0" xfId="0"/>
    <xf numFmtId="0" fontId="0" fillId="0" borderId="0" pivotButton="0" quotePrefix="0" xfId="0"/>
    <xf numFmtId="2" fontId="0" fillId="0" borderId="0" pivotButton="0" quotePrefix="0" xfId="0"/>
    <xf numFmtId="165" fontId="2" fillId="0" borderId="0" pivotButton="0" quotePrefix="0" xfId="1"/>
    <xf numFmtId="165" fontId="3" fillId="11" borderId="0" pivotButton="0" quotePrefix="0" xfId="1"/>
    <xf numFmtId="165" fontId="3" fillId="10" borderId="0" pivotButton="0" quotePrefix="0" xfId="1"/>
    <xf numFmtId="166" fontId="0" fillId="0" borderId="0" pivotButton="0" quotePrefix="0" xfId="0"/>
    <xf numFmtId="165" fontId="4" fillId="12" borderId="0" pivotButton="0" quotePrefix="0" xfId="1"/>
    <xf numFmtId="165" fontId="3" fillId="11" borderId="0" pivotButton="0" quotePrefix="0" xfId="0"/>
    <xf numFmtId="165" fontId="3" fillId="10" borderId="0" pivotButton="0" quotePrefix="0" xfId="0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167" fontId="2" fillId="0" borderId="0" pivotButton="0" quotePrefix="0" xfId="1"/>
    <xf numFmtId="165" fontId="2" fillId="0" borderId="0" pivotButton="0" quotePrefix="0" xfId="1"/>
    <xf numFmtId="165" fontId="3" fillId="11" borderId="0" pivotButton="0" quotePrefix="0" xfId="1"/>
    <xf numFmtId="165" fontId="3" fillId="10" borderId="0" pivotButton="0" quotePrefix="0" xfId="1"/>
    <xf numFmtId="166" fontId="0" fillId="0" borderId="0" pivotButton="0" quotePrefix="0" xfId="0"/>
    <xf numFmtId="165" fontId="4" fillId="12" borderId="0" pivotButton="0" quotePrefix="0" xfId="1"/>
    <xf numFmtId="165" fontId="3" fillId="11" borderId="0" pivotButton="0" quotePrefix="0" xfId="0"/>
    <xf numFmtId="165" fontId="3" fillId="10" borderId="0" pivotButton="0" quotePrefix="0" xfId="0"/>
    <xf numFmtId="167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1"/>
  <sheetViews>
    <sheetView tabSelected="1" workbookViewId="0">
      <pane xSplit="5" ySplit="2" topLeftCell="F55" activePane="bottomRight" state="frozen"/>
      <selection pane="topRight" activeCell="F1" sqref="F1"/>
      <selection pane="bottomLeft" activeCell="A3" sqref="A3"/>
      <selection pane="bottomRight" activeCell="N71" sqref="N71"/>
    </sheetView>
  </sheetViews>
  <sheetFormatPr baseColWidth="8" defaultRowHeight="15"/>
  <cols>
    <col width="9" customWidth="1" style="40" min="2" max="2"/>
    <col width="8.42578125" customWidth="1" style="40" min="3" max="3"/>
    <col width="16.42578125" customWidth="1" style="40" min="4" max="4"/>
    <col width="18.7109375" customWidth="1" style="12" min="5" max="5"/>
    <col width="11.5703125" customWidth="1" style="40" min="6" max="6"/>
    <col width="14.140625" customWidth="1" style="40" min="7" max="7"/>
    <col width="9" customWidth="1" style="40" min="8" max="8"/>
    <col width="9.140625" customWidth="1" style="40" min="9" max="11"/>
    <col width="16.85546875" customWidth="1" style="40" min="12" max="19"/>
    <col width="17.85546875" customWidth="1" style="40" min="20" max="20"/>
    <col width="16.85546875" customWidth="1" style="40" min="21" max="23"/>
    <col width="9.28515625" customWidth="1" style="40" min="24" max="28"/>
    <col width="9.28515625" customWidth="1" style="42" min="29" max="29"/>
    <col width="9.28515625" customWidth="1" style="40" min="30" max="32"/>
    <col width="8.42578125" customWidth="1" style="40" min="33" max="33"/>
    <col width="6.42578125" customWidth="1" style="40" min="34" max="41"/>
    <col width="8" customWidth="1" style="40" min="42" max="42"/>
    <col width="25.7109375" customWidth="1" style="12" min="43" max="43"/>
    <col width="18.7109375" customWidth="1" style="12" min="44" max="44"/>
    <col width="17.5703125" customWidth="1" style="40" min="45" max="45"/>
    <col width="6.5703125" customWidth="1" style="40" min="46" max="48"/>
  </cols>
  <sheetData>
    <row r="1" ht="23.45" customHeight="1" s="40">
      <c r="T1" s="45" t="inlineStr">
        <is>
          <t>CHU KỲ 10 KỲ</t>
        </is>
      </c>
      <c r="X1" s="43" t="inlineStr">
        <is>
          <t>Trúng 3</t>
        </is>
      </c>
      <c r="AA1" s="41" t="inlineStr">
        <is>
          <t>Trúng 4</t>
        </is>
      </c>
      <c r="AD1" s="39" t="inlineStr">
        <is>
          <t>Trúng 5</t>
        </is>
      </c>
      <c r="AG1" s="44" t="inlineStr">
        <is>
          <t>Trung bình/Kỳ</t>
        </is>
      </c>
    </row>
    <row r="2" ht="65.4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7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20" t="inlineStr">
        <is>
          <t>Thu 
&gt;90%</t>
        </is>
      </c>
      <c r="K2" s="20" t="inlineStr">
        <is>
          <t>Tỉ lệ
&gt;90%</t>
        </is>
      </c>
      <c r="L2" s="18" t="inlineStr">
        <is>
          <t>Số kỳ thu hồi
 &gt;=120%</t>
        </is>
      </c>
      <c r="M2" s="18" t="inlineStr">
        <is>
          <t>Tỉ lệ  kỳ  
thu  
 &gt;=120%</t>
        </is>
      </c>
      <c r="N2" s="25" t="inlineStr">
        <is>
          <t>Số kỳ thu hồi
 &gt;=140%</t>
        </is>
      </c>
      <c r="O2" s="25" t="inlineStr">
        <is>
          <t>Tỉ lệ  kỳ  thu  
 &gt;=140%</t>
        </is>
      </c>
      <c r="P2" s="19" t="inlineStr">
        <is>
          <t>Số kỳ thu hồi
 &gt;=160%</t>
        </is>
      </c>
      <c r="Q2" s="19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23" t="inlineStr">
        <is>
          <t>Link chi tiết</t>
        </is>
      </c>
    </row>
    <row r="3">
      <c r="A3" t="n">
        <v>6</v>
      </c>
      <c r="B3" t="inlineStr">
        <is>
          <t>100-109</t>
        </is>
      </c>
      <c r="C3" t="inlineStr">
        <is>
          <t>10</t>
        </is>
      </c>
      <c r="D3" t="n">
        <v>133.03</v>
      </c>
      <c r="E3" t="n">
        <v>11461794080.99999</v>
      </c>
      <c r="F3" t="n">
        <v>15253</v>
      </c>
      <c r="G3" t="n">
        <v>1296</v>
      </c>
      <c r="H3" t="inlineStr">
        <is>
          <t>0/10</t>
        </is>
      </c>
      <c r="I3" t="n">
        <v>0</v>
      </c>
      <c r="J3" t="inlineStr">
        <is>
          <t>10/10</t>
        </is>
      </c>
      <c r="K3" t="n">
        <v>100</v>
      </c>
      <c r="L3" t="inlineStr">
        <is>
          <t>10/10</t>
        </is>
      </c>
      <c r="M3" t="n">
        <v>100</v>
      </c>
      <c r="N3" t="inlineStr">
        <is>
          <t>2/10</t>
        </is>
      </c>
      <c r="O3" t="n">
        <v>20</v>
      </c>
      <c r="P3" t="inlineStr">
        <is>
          <t>0/10</t>
        </is>
      </c>
      <c r="Q3" t="n">
        <v>0</v>
      </c>
      <c r="R3" t="inlineStr">
        <is>
          <t>0/10</t>
        </is>
      </c>
      <c r="S3" t="n">
        <v>0</v>
      </c>
      <c r="T3" t="inlineStr">
        <is>
          <t>1/1</t>
        </is>
      </c>
      <c r="U3" t="n">
        <v>100</v>
      </c>
      <c r="V3" t="inlineStr">
        <is>
          <t>1/1</t>
        </is>
      </c>
      <c r="W3" t="n">
        <v>100</v>
      </c>
      <c r="X3" t="n">
        <v>13200</v>
      </c>
      <c r="Y3" t="n">
        <v>1224</v>
      </c>
      <c r="Z3" t="n">
        <v>14424</v>
      </c>
      <c r="AA3" t="n">
        <v>707</v>
      </c>
      <c r="AB3" t="n">
        <v>72</v>
      </c>
      <c r="AC3" t="n">
        <v>819</v>
      </c>
      <c r="AD3" t="n">
        <v>10</v>
      </c>
      <c r="AE3" t="n">
        <v>0</v>
      </c>
      <c r="AF3" t="n">
        <v>10</v>
      </c>
      <c r="AG3" t="n">
        <v>1320</v>
      </c>
      <c r="AH3" t="n">
        <v>122.4</v>
      </c>
      <c r="AI3" t="n">
        <v>122.4</v>
      </c>
      <c r="AJ3" t="n">
        <v>81.90000000000001</v>
      </c>
      <c r="AK3" t="n">
        <v>7.2</v>
      </c>
      <c r="AL3" t="n">
        <v>7.2</v>
      </c>
      <c r="AM3" t="n">
        <v>1</v>
      </c>
      <c r="AN3" t="n">
        <v>0</v>
      </c>
      <c r="AO3" t="n">
        <v>1</v>
      </c>
      <c r="AP3" t="n">
        <v>4690.6</v>
      </c>
      <c r="AQ3" t="n">
        <v>34706400000</v>
      </c>
      <c r="AR3" t="n">
        <v>46168194080</v>
      </c>
      <c r="AS3">
        <f>HYPERLINK("https://github.com/lottpicker/daily1689/blob/main/summary-v6.txt", "Click view")</f>
        <v/>
      </c>
    </row>
    <row r="4">
      <c r="A4" t="n">
        <v>8</v>
      </c>
      <c r="B4" t="inlineStr">
        <is>
          <t>100-109</t>
        </is>
      </c>
      <c r="C4" t="inlineStr">
        <is>
          <t>10</t>
        </is>
      </c>
      <c r="D4" t="n">
        <v>135.63</v>
      </c>
      <c r="E4" t="n">
        <v>12365484081</v>
      </c>
      <c r="F4" t="n">
        <v>15251</v>
      </c>
      <c r="G4" t="n">
        <v>1286</v>
      </c>
      <c r="H4" t="inlineStr">
        <is>
          <t>0/10</t>
        </is>
      </c>
      <c r="I4" t="n">
        <v>0</v>
      </c>
      <c r="J4" t="inlineStr">
        <is>
          <t>10/10</t>
        </is>
      </c>
      <c r="K4" t="n">
        <v>100</v>
      </c>
      <c r="L4" t="inlineStr">
        <is>
          <t>10/10</t>
        </is>
      </c>
      <c r="M4" t="n">
        <v>100</v>
      </c>
      <c r="N4" t="inlineStr">
        <is>
          <t>2/10</t>
        </is>
      </c>
      <c r="O4" t="n">
        <v>20</v>
      </c>
      <c r="P4" t="inlineStr">
        <is>
          <t>1/10</t>
        </is>
      </c>
      <c r="Q4" t="n">
        <v>10</v>
      </c>
      <c r="R4" t="inlineStr">
        <is>
          <t>0/10</t>
        </is>
      </c>
      <c r="S4" t="n">
        <v>0</v>
      </c>
      <c r="T4" t="inlineStr">
        <is>
          <t>1/1</t>
        </is>
      </c>
      <c r="U4" t="n">
        <v>100</v>
      </c>
      <c r="V4" t="inlineStr">
        <is>
          <t>1/1</t>
        </is>
      </c>
      <c r="W4" t="n">
        <v>100</v>
      </c>
      <c r="X4" t="n">
        <v>13210</v>
      </c>
      <c r="Y4" t="n">
        <v>1214</v>
      </c>
      <c r="Z4" t="n">
        <v>14424</v>
      </c>
      <c r="AA4" t="n">
        <v>701</v>
      </c>
      <c r="AB4" t="n">
        <v>71</v>
      </c>
      <c r="AC4" t="n">
        <v>816</v>
      </c>
      <c r="AD4" t="n">
        <v>10</v>
      </c>
      <c r="AE4" t="n">
        <v>1</v>
      </c>
      <c r="AF4" t="n">
        <v>11</v>
      </c>
      <c r="AG4" t="n">
        <v>1321</v>
      </c>
      <c r="AH4" t="n">
        <v>121.4</v>
      </c>
      <c r="AI4" t="n">
        <v>121.4</v>
      </c>
      <c r="AJ4" t="n">
        <v>81.59999999999999</v>
      </c>
      <c r="AK4" t="n">
        <v>7.1</v>
      </c>
      <c r="AL4" t="n">
        <v>7.1</v>
      </c>
      <c r="AM4" t="n">
        <v>1</v>
      </c>
      <c r="AN4" t="n">
        <v>0.1</v>
      </c>
      <c r="AO4" t="n">
        <v>1.1</v>
      </c>
      <c r="AP4" t="n">
        <v>4691.6</v>
      </c>
      <c r="AQ4" t="n">
        <v>34706400000</v>
      </c>
      <c r="AR4" t="n">
        <v>47071884081</v>
      </c>
      <c r="AS4">
        <f>HYPERLINK("https://github.com/lottpicker/daily1689/blob/main/summary-v8.txt", "Click view")</f>
        <v/>
      </c>
    </row>
    <row r="5">
      <c r="A5" t="n">
        <v>9</v>
      </c>
      <c r="B5" t="inlineStr">
        <is>
          <t>100-109</t>
        </is>
      </c>
      <c r="C5" t="inlineStr">
        <is>
          <t>10</t>
        </is>
      </c>
      <c r="D5" t="n">
        <v>130.54</v>
      </c>
      <c r="E5" t="n">
        <v>10598956572.89999</v>
      </c>
      <c r="F5" t="n">
        <v>15200</v>
      </c>
      <c r="G5" t="n">
        <v>1301</v>
      </c>
      <c r="H5" t="inlineStr">
        <is>
          <t>0/10</t>
        </is>
      </c>
      <c r="I5" t="n">
        <v>0</v>
      </c>
      <c r="J5" t="inlineStr">
        <is>
          <t>10/10</t>
        </is>
      </c>
      <c r="K5" t="n">
        <v>100</v>
      </c>
      <c r="L5" t="inlineStr">
        <is>
          <t>10/10</t>
        </is>
      </c>
      <c r="M5" t="n">
        <v>100</v>
      </c>
      <c r="N5" t="inlineStr">
        <is>
          <t>1/10</t>
        </is>
      </c>
      <c r="O5" t="n">
        <v>10</v>
      </c>
      <c r="P5" t="inlineStr">
        <is>
          <t>0/10</t>
        </is>
      </c>
      <c r="Q5" t="n">
        <v>0</v>
      </c>
      <c r="R5" t="inlineStr">
        <is>
          <t>0/10</t>
        </is>
      </c>
      <c r="S5" t="n">
        <v>0</v>
      </c>
      <c r="T5" t="inlineStr">
        <is>
          <t>1/1</t>
        </is>
      </c>
      <c r="U5" t="n">
        <v>100</v>
      </c>
      <c r="V5" t="inlineStr">
        <is>
          <t>1/1</t>
        </is>
      </c>
      <c r="W5" t="n">
        <v>100</v>
      </c>
      <c r="X5" t="n">
        <v>13151</v>
      </c>
      <c r="Y5" t="n">
        <v>1234</v>
      </c>
      <c r="Z5" t="n">
        <v>14385</v>
      </c>
      <c r="AA5" t="n">
        <v>699</v>
      </c>
      <c r="AB5" t="n">
        <v>66</v>
      </c>
      <c r="AC5" t="n">
        <v>805</v>
      </c>
      <c r="AD5" t="n">
        <v>9</v>
      </c>
      <c r="AE5" t="n">
        <v>1</v>
      </c>
      <c r="AF5" t="n">
        <v>10</v>
      </c>
      <c r="AG5" t="n">
        <v>1315.1</v>
      </c>
      <c r="AH5" t="n">
        <v>123.4</v>
      </c>
      <c r="AI5" t="n">
        <v>123.4</v>
      </c>
      <c r="AJ5" t="n">
        <v>80.5</v>
      </c>
      <c r="AK5" t="n">
        <v>6.6</v>
      </c>
      <c r="AL5" t="n">
        <v>6.6</v>
      </c>
      <c r="AM5" t="n">
        <v>0.9</v>
      </c>
      <c r="AN5" t="n">
        <v>0.1</v>
      </c>
      <c r="AO5" t="n">
        <v>1</v>
      </c>
      <c r="AP5" t="n">
        <v>4690.1</v>
      </c>
      <c r="AQ5" t="n">
        <v>34706400000</v>
      </c>
      <c r="AR5" t="n">
        <v>45305356572</v>
      </c>
      <c r="AS5">
        <f>HYPERLINK("https://github.com/lottpicker/daily1689/blob/main/summary-v9.txt", "Click view")</f>
        <v/>
      </c>
    </row>
    <row r="6">
      <c r="A6" t="n">
        <v>10</v>
      </c>
      <c r="B6" t="inlineStr">
        <is>
          <t>100-369</t>
        </is>
      </c>
      <c r="C6" t="inlineStr">
        <is>
          <t>270</t>
        </is>
      </c>
      <c r="D6" s="28" t="n">
        <v>137.07</v>
      </c>
      <c r="E6" s="21" t="n">
        <v>52408961400</v>
      </c>
      <c r="F6" t="n">
        <v>40780</v>
      </c>
      <c r="G6" t="n">
        <v>3352</v>
      </c>
      <c r="H6" t="inlineStr">
        <is>
          <t>85/270</t>
        </is>
      </c>
      <c r="I6" s="47" t="n">
        <v>31.48</v>
      </c>
      <c r="J6" t="inlineStr">
        <is>
          <t>178/270</t>
        </is>
      </c>
      <c r="K6" s="47" t="n">
        <v>65.93000000000001</v>
      </c>
      <c r="L6" t="inlineStr">
        <is>
          <t>97/270</t>
        </is>
      </c>
      <c r="M6" s="48" t="n">
        <v>35.93</v>
      </c>
      <c r="N6" t="inlineStr">
        <is>
          <t>66/270</t>
        </is>
      </c>
      <c r="O6" s="42" t="n">
        <v>24.44</v>
      </c>
      <c r="P6" t="inlineStr">
        <is>
          <t>58/270</t>
        </is>
      </c>
      <c r="Q6" s="49" t="n">
        <v>21.48</v>
      </c>
      <c r="R6" t="inlineStr">
        <is>
          <t>53/270</t>
        </is>
      </c>
      <c r="S6" t="n">
        <v>19.63</v>
      </c>
      <c r="T6" t="inlineStr">
        <is>
          <t>25/27</t>
        </is>
      </c>
      <c r="U6" s="15" t="n">
        <v>92.59</v>
      </c>
      <c r="V6" t="inlineStr">
        <is>
          <t>22/27</t>
        </is>
      </c>
      <c r="W6" t="n">
        <v>81.48</v>
      </c>
      <c r="X6" t="n">
        <v>34813</v>
      </c>
      <c r="Y6" t="n">
        <v>3126</v>
      </c>
      <c r="Z6" t="n">
        <v>37939</v>
      </c>
      <c r="AA6" t="n">
        <v>2356</v>
      </c>
      <c r="AB6" t="n">
        <v>220</v>
      </c>
      <c r="AC6" t="n">
        <v>2788</v>
      </c>
      <c r="AD6" t="n">
        <v>47</v>
      </c>
      <c r="AE6" t="n">
        <v>6</v>
      </c>
      <c r="AF6" s="13" t="n">
        <v>53</v>
      </c>
      <c r="AG6" t="n">
        <v>128.94</v>
      </c>
      <c r="AH6" t="n">
        <v>11.58</v>
      </c>
      <c r="AI6" t="n">
        <v>11.58</v>
      </c>
      <c r="AJ6" t="n">
        <v>10.33</v>
      </c>
      <c r="AK6" t="n">
        <v>0.8100000000000001</v>
      </c>
      <c r="AL6" t="n">
        <v>0.8100000000000001</v>
      </c>
      <c r="AM6" t="n">
        <v>0.17</v>
      </c>
      <c r="AN6" t="n">
        <v>0.02</v>
      </c>
      <c r="AO6" s="13" t="n">
        <v>0.2</v>
      </c>
      <c r="AP6" t="n">
        <v>128.33</v>
      </c>
      <c r="AQ6" s="12" t="n">
        <v>141369300000</v>
      </c>
      <c r="AR6" s="12" t="n">
        <v>193778261400</v>
      </c>
      <c r="AS6" s="24">
        <f>HYPERLINK("https://github.com/lottpicker/daily1689/blob/main/summary-v10.txt", "Click view")</f>
        <v/>
      </c>
    </row>
    <row r="7">
      <c r="A7" t="n">
        <v>11</v>
      </c>
      <c r="B7" t="inlineStr">
        <is>
          <t>100-369</t>
        </is>
      </c>
      <c r="C7" t="inlineStr">
        <is>
          <t>270</t>
        </is>
      </c>
      <c r="D7" s="42" t="n">
        <v>117.62</v>
      </c>
      <c r="E7" s="12" t="n">
        <v>24906867400</v>
      </c>
      <c r="F7" t="n">
        <v>40645</v>
      </c>
      <c r="G7" t="n">
        <v>3337</v>
      </c>
      <c r="H7" t="inlineStr">
        <is>
          <t>100/270</t>
        </is>
      </c>
      <c r="I7" s="47" t="n">
        <v>37.04</v>
      </c>
      <c r="J7" t="inlineStr">
        <is>
          <t>168/270</t>
        </is>
      </c>
      <c r="K7" s="47" t="n">
        <v>62.22</v>
      </c>
      <c r="L7" t="inlineStr">
        <is>
          <t>72/270</t>
        </is>
      </c>
      <c r="M7" s="42" t="n">
        <v>26.67</v>
      </c>
      <c r="N7" t="inlineStr">
        <is>
          <t>41/270</t>
        </is>
      </c>
      <c r="O7" t="n">
        <v>15.19</v>
      </c>
      <c r="P7" t="inlineStr">
        <is>
          <t>35/270</t>
        </is>
      </c>
      <c r="Q7" s="50" t="n">
        <v>12.96</v>
      </c>
      <c r="R7" t="inlineStr">
        <is>
          <t>34/270</t>
        </is>
      </c>
      <c r="S7" t="n">
        <v>12.59</v>
      </c>
      <c r="T7" t="inlineStr">
        <is>
          <t>24/27</t>
        </is>
      </c>
      <c r="U7" t="n">
        <v>88.89</v>
      </c>
      <c r="V7" t="inlineStr">
        <is>
          <t>21/27</t>
        </is>
      </c>
      <c r="W7" t="n">
        <v>77.78</v>
      </c>
      <c r="X7" t="n">
        <v>34677</v>
      </c>
      <c r="Y7" t="n">
        <v>3139</v>
      </c>
      <c r="Z7" t="n">
        <v>37816</v>
      </c>
      <c r="AA7" t="n">
        <v>2461</v>
      </c>
      <c r="AB7" t="n">
        <v>198</v>
      </c>
      <c r="AC7" t="n">
        <v>2795</v>
      </c>
      <c r="AD7" t="n">
        <v>34</v>
      </c>
      <c r="AE7" t="n">
        <v>0</v>
      </c>
      <c r="AF7" t="n">
        <v>34</v>
      </c>
      <c r="AG7" t="n">
        <v>128.43</v>
      </c>
      <c r="AH7" t="n">
        <v>11.63</v>
      </c>
      <c r="AI7" t="n">
        <v>11.63</v>
      </c>
      <c r="AJ7" t="n">
        <v>10.35</v>
      </c>
      <c r="AK7" t="n">
        <v>0.73</v>
      </c>
      <c r="AL7" t="n">
        <v>0.73</v>
      </c>
      <c r="AM7" t="n">
        <v>0.13</v>
      </c>
      <c r="AN7" t="n">
        <v>0</v>
      </c>
      <c r="AO7" t="n">
        <v>0.13</v>
      </c>
      <c r="AP7" t="n">
        <v>128.39</v>
      </c>
      <c r="AQ7" s="12" t="n">
        <v>141369300000</v>
      </c>
      <c r="AR7" s="12" t="n">
        <v>166276167400</v>
      </c>
      <c r="AS7" s="24">
        <f>HYPERLINK("https://github.com/lottpicker/daily1689/blob/main/summary-v11.txt", "Click view")</f>
        <v/>
      </c>
    </row>
    <row r="8">
      <c r="A8" t="n">
        <v>12</v>
      </c>
      <c r="B8" t="inlineStr">
        <is>
          <t>100-369</t>
        </is>
      </c>
      <c r="C8" t="inlineStr">
        <is>
          <t>270</t>
        </is>
      </c>
      <c r="D8" s="28" t="n">
        <v>135.59</v>
      </c>
      <c r="E8" s="21" t="n">
        <v>50307411900</v>
      </c>
      <c r="F8" t="n">
        <v>40777</v>
      </c>
      <c r="G8" t="n">
        <v>3411</v>
      </c>
      <c r="H8" t="inlineStr">
        <is>
          <t>90/270</t>
        </is>
      </c>
      <c r="I8" s="47" t="n">
        <v>33.33</v>
      </c>
      <c r="J8" t="inlineStr">
        <is>
          <t>176/270</t>
        </is>
      </c>
      <c r="K8" s="47" t="n">
        <v>65.19</v>
      </c>
      <c r="L8" t="inlineStr">
        <is>
          <t>97/270</t>
        </is>
      </c>
      <c r="M8" s="51" t="n">
        <v>35.93</v>
      </c>
      <c r="N8" t="inlineStr">
        <is>
          <t>61/270</t>
        </is>
      </c>
      <c r="O8" s="42" t="n">
        <v>22.59</v>
      </c>
      <c r="P8" t="inlineStr">
        <is>
          <t>53/270</t>
        </is>
      </c>
      <c r="Q8" s="50" t="n">
        <v>19.63</v>
      </c>
      <c r="R8" t="inlineStr">
        <is>
          <t>51/270</t>
        </is>
      </c>
      <c r="S8" t="n">
        <v>18.89</v>
      </c>
      <c r="T8" t="inlineStr">
        <is>
          <t>25/27</t>
        </is>
      </c>
      <c r="U8" s="15" t="n">
        <v>92.59</v>
      </c>
      <c r="V8" t="inlineStr">
        <is>
          <t>25/27</t>
        </is>
      </c>
      <c r="W8" s="26" t="n">
        <v>92.59</v>
      </c>
      <c r="X8" t="n">
        <v>34757</v>
      </c>
      <c r="Y8" t="n">
        <v>3188</v>
      </c>
      <c r="Z8" t="n">
        <v>37945</v>
      </c>
      <c r="AA8" t="n">
        <v>2356</v>
      </c>
      <c r="AB8" t="n">
        <v>221</v>
      </c>
      <c r="AC8" t="n">
        <v>2781</v>
      </c>
      <c r="AD8" t="n">
        <v>49</v>
      </c>
      <c r="AE8" t="n">
        <v>2</v>
      </c>
      <c r="AF8" s="13" t="n">
        <v>51</v>
      </c>
      <c r="AG8" t="n">
        <v>128.73</v>
      </c>
      <c r="AH8" t="n">
        <v>11.81</v>
      </c>
      <c r="AI8" t="n">
        <v>11.81</v>
      </c>
      <c r="AJ8" t="n">
        <v>10.3</v>
      </c>
      <c r="AK8" t="n">
        <v>0.82</v>
      </c>
      <c r="AL8" t="n">
        <v>0.82</v>
      </c>
      <c r="AM8" t="n">
        <v>0.18</v>
      </c>
      <c r="AN8" t="n">
        <v>0.01</v>
      </c>
      <c r="AO8" t="n">
        <v>0.19</v>
      </c>
      <c r="AP8" t="n">
        <v>128.11</v>
      </c>
      <c r="AQ8" s="12" t="n">
        <v>141369300000</v>
      </c>
      <c r="AR8" s="12" t="n">
        <v>191676711900</v>
      </c>
      <c r="AS8" s="24">
        <f>HYPERLINK("https://github.com/lottpicker/daily1689/blob/main/summary-v12.txt", "Click view")</f>
        <v/>
      </c>
    </row>
    <row r="9">
      <c r="A9" t="n">
        <v>13</v>
      </c>
      <c r="B9" t="inlineStr">
        <is>
          <t>100-369</t>
        </is>
      </c>
      <c r="C9" t="inlineStr">
        <is>
          <t>270</t>
        </is>
      </c>
      <c r="D9" s="42" t="n">
        <v>129.28</v>
      </c>
      <c r="E9" s="12" t="n">
        <v>41393479900</v>
      </c>
      <c r="F9" t="n">
        <v>40743</v>
      </c>
      <c r="G9" t="n">
        <v>3419</v>
      </c>
      <c r="H9" t="inlineStr">
        <is>
          <t>95/270</t>
        </is>
      </c>
      <c r="I9" s="47" t="n">
        <v>35.19</v>
      </c>
      <c r="J9" t="inlineStr">
        <is>
          <t>170/270</t>
        </is>
      </c>
      <c r="K9" s="47" t="n">
        <v>62.96</v>
      </c>
      <c r="L9" t="inlineStr">
        <is>
          <t>91/270</t>
        </is>
      </c>
      <c r="M9" s="42" t="n">
        <v>33.7</v>
      </c>
      <c r="N9" t="inlineStr">
        <is>
          <t>58/270</t>
        </is>
      </c>
      <c r="O9" t="n">
        <v>21.48</v>
      </c>
      <c r="P9" t="inlineStr">
        <is>
          <t>50/270</t>
        </is>
      </c>
      <c r="Q9" s="50" t="n">
        <v>18.52</v>
      </c>
      <c r="R9" t="inlineStr">
        <is>
          <t>44/270</t>
        </is>
      </c>
      <c r="S9" t="n">
        <v>16.3</v>
      </c>
      <c r="T9" t="inlineStr">
        <is>
          <t>25/27</t>
        </is>
      </c>
      <c r="U9" s="15" t="n">
        <v>92.59</v>
      </c>
      <c r="V9" t="inlineStr">
        <is>
          <t>21/27</t>
        </is>
      </c>
      <c r="W9" t="n">
        <v>77.78</v>
      </c>
      <c r="X9" t="n">
        <v>34727</v>
      </c>
      <c r="Y9" t="n">
        <v>3194</v>
      </c>
      <c r="Z9" t="n">
        <v>37921</v>
      </c>
      <c r="AA9" t="n">
        <v>2381</v>
      </c>
      <c r="AB9" t="n">
        <v>221</v>
      </c>
      <c r="AC9" t="n">
        <v>2778</v>
      </c>
      <c r="AD9" t="n">
        <v>40</v>
      </c>
      <c r="AE9" t="n">
        <v>4</v>
      </c>
      <c r="AF9" t="n">
        <v>44</v>
      </c>
      <c r="AG9" t="n">
        <v>128.62</v>
      </c>
      <c r="AH9" t="n">
        <v>11.83</v>
      </c>
      <c r="AI9" t="n">
        <v>11.83</v>
      </c>
      <c r="AJ9" t="n">
        <v>10.29</v>
      </c>
      <c r="AK9" t="n">
        <v>0.82</v>
      </c>
      <c r="AL9" t="n">
        <v>0.82</v>
      </c>
      <c r="AM9" t="n">
        <v>0.15</v>
      </c>
      <c r="AN9" t="n">
        <v>0.01</v>
      </c>
      <c r="AO9" t="n">
        <v>0.16</v>
      </c>
      <c r="AP9" t="n">
        <v>128.09</v>
      </c>
      <c r="AQ9" s="12" t="n">
        <v>141369300000</v>
      </c>
      <c r="AR9" s="12" t="n">
        <v>182762779900</v>
      </c>
      <c r="AS9" s="24">
        <f>HYPERLINK("https://github.com/lottpicker/daily1689/blob/main/summary-v13.txt", "Click view")</f>
        <v/>
      </c>
    </row>
    <row r="10">
      <c r="A10" t="n">
        <v>14</v>
      </c>
      <c r="B10" t="inlineStr">
        <is>
          <t>100-369</t>
        </is>
      </c>
      <c r="C10" t="inlineStr">
        <is>
          <t>270</t>
        </is>
      </c>
      <c r="D10" s="42" t="n">
        <v>130.44</v>
      </c>
      <c r="E10" s="12" t="n">
        <v>43026460900</v>
      </c>
      <c r="F10" t="n">
        <v>40707</v>
      </c>
      <c r="G10" t="n">
        <v>3470</v>
      </c>
      <c r="H10" t="inlineStr">
        <is>
          <t>93/270</t>
        </is>
      </c>
      <c r="I10" s="47" t="n">
        <v>34.44</v>
      </c>
      <c r="J10" t="inlineStr">
        <is>
          <t>170/270</t>
        </is>
      </c>
      <c r="K10" s="47" t="n">
        <v>62.96</v>
      </c>
      <c r="L10" t="inlineStr">
        <is>
          <t>95/270</t>
        </is>
      </c>
      <c r="M10" s="42" t="n">
        <v>35.19</v>
      </c>
      <c r="N10" t="inlineStr">
        <is>
          <t>57/270</t>
        </is>
      </c>
      <c r="O10" t="n">
        <v>21.11</v>
      </c>
      <c r="P10" t="inlineStr">
        <is>
          <t>50/270</t>
        </is>
      </c>
      <c r="Q10" s="50" t="n">
        <v>18.52</v>
      </c>
      <c r="R10" t="inlineStr">
        <is>
          <t>45/270</t>
        </is>
      </c>
      <c r="S10" t="n">
        <v>16.67</v>
      </c>
      <c r="T10" t="inlineStr">
        <is>
          <t>26/27</t>
        </is>
      </c>
      <c r="U10" s="14" t="n">
        <v>96.3</v>
      </c>
      <c r="V10" t="inlineStr">
        <is>
          <t>23/27</t>
        </is>
      </c>
      <c r="W10" t="n">
        <v>85.19</v>
      </c>
      <c r="X10" t="n">
        <v>34638</v>
      </c>
      <c r="Y10" t="n">
        <v>3239</v>
      </c>
      <c r="Z10" t="n">
        <v>37877</v>
      </c>
      <c r="AA10" t="n">
        <v>2381</v>
      </c>
      <c r="AB10" t="n">
        <v>229</v>
      </c>
      <c r="AC10" t="n">
        <v>2786</v>
      </c>
      <c r="AD10" t="n">
        <v>42</v>
      </c>
      <c r="AE10" t="n">
        <v>2</v>
      </c>
      <c r="AF10" t="n">
        <v>44</v>
      </c>
      <c r="AG10" t="n">
        <v>128.29</v>
      </c>
      <c r="AH10" t="n">
        <v>12</v>
      </c>
      <c r="AI10" t="n">
        <v>12</v>
      </c>
      <c r="AJ10" t="n">
        <v>10.32</v>
      </c>
      <c r="AK10" t="n">
        <v>0.85</v>
      </c>
      <c r="AL10" t="n">
        <v>0.85</v>
      </c>
      <c r="AM10" t="n">
        <v>0.16</v>
      </c>
      <c r="AN10" t="n">
        <v>0.01</v>
      </c>
      <c r="AO10" t="n">
        <v>0.16</v>
      </c>
      <c r="AP10" t="n">
        <v>127.9</v>
      </c>
      <c r="AQ10" s="12" t="n">
        <v>141369300000</v>
      </c>
      <c r="AR10" s="12" t="n">
        <v>184395760900</v>
      </c>
      <c r="AS10" s="24">
        <f>HYPERLINK("https://github.com/lottpicker/daily1689/blob/main/summary-v14.txt", "Click view")</f>
        <v/>
      </c>
    </row>
    <row r="11">
      <c r="A11" s="29" t="n">
        <v>15</v>
      </c>
      <c r="B11" t="inlineStr">
        <is>
          <t>100-369</t>
        </is>
      </c>
      <c r="C11" t="inlineStr">
        <is>
          <t>270</t>
        </is>
      </c>
      <c r="D11" s="22" t="n">
        <v>139.97</v>
      </c>
      <c r="E11" s="16" t="n">
        <v>56501222800</v>
      </c>
      <c r="F11" t="n">
        <v>40738</v>
      </c>
      <c r="G11" t="n">
        <v>3404</v>
      </c>
      <c r="H11" t="inlineStr">
        <is>
          <t>66/270</t>
        </is>
      </c>
      <c r="I11" s="49" t="n">
        <v>24.44</v>
      </c>
      <c r="J11" t="inlineStr">
        <is>
          <t>197/270</t>
        </is>
      </c>
      <c r="K11" s="49" t="n">
        <v>72.95999999999999</v>
      </c>
      <c r="L11" t="inlineStr">
        <is>
          <t>103/270</t>
        </is>
      </c>
      <c r="M11" s="49" t="n">
        <v>38.15</v>
      </c>
      <c r="N11" t="inlineStr">
        <is>
          <t>63/270</t>
        </is>
      </c>
      <c r="O11" s="42" t="n">
        <v>23.33</v>
      </c>
      <c r="P11" t="inlineStr">
        <is>
          <t>55/270</t>
        </is>
      </c>
      <c r="Q11" s="48" t="n">
        <v>20.37</v>
      </c>
      <c r="R11" t="inlineStr">
        <is>
          <t>53/270</t>
        </is>
      </c>
      <c r="S11" t="n">
        <v>19.63</v>
      </c>
      <c r="T11" t="inlineStr">
        <is>
          <t>25/27</t>
        </is>
      </c>
      <c r="U11" s="26" t="n">
        <v>92.59</v>
      </c>
      <c r="V11" t="inlineStr">
        <is>
          <t>25/27</t>
        </is>
      </c>
      <c r="W11" s="26" t="n">
        <v>92.59</v>
      </c>
      <c r="X11" t="n">
        <v>34741</v>
      </c>
      <c r="Y11" t="n">
        <v>3143</v>
      </c>
      <c r="Z11" t="n">
        <v>37884</v>
      </c>
      <c r="AA11" t="n">
        <v>2342</v>
      </c>
      <c r="AB11" t="n">
        <v>252</v>
      </c>
      <c r="AC11" t="n">
        <v>2802</v>
      </c>
      <c r="AD11" t="n">
        <v>43</v>
      </c>
      <c r="AE11" s="13" t="n">
        <v>9</v>
      </c>
      <c r="AF11" s="13" t="n">
        <v>52</v>
      </c>
      <c r="AG11" t="n">
        <v>128.67</v>
      </c>
      <c r="AH11" t="n">
        <v>11.64</v>
      </c>
      <c r="AI11" t="n">
        <v>11.64</v>
      </c>
      <c r="AJ11" t="n">
        <v>10.38</v>
      </c>
      <c r="AK11" s="13" t="n">
        <v>0.93</v>
      </c>
      <c r="AL11" t="n">
        <v>0.93</v>
      </c>
      <c r="AM11" t="n">
        <v>0.16</v>
      </c>
      <c r="AN11" t="n">
        <v>0.03</v>
      </c>
      <c r="AO11" t="n">
        <v>0.19</v>
      </c>
      <c r="AP11" t="n">
        <v>128.14</v>
      </c>
      <c r="AQ11" s="12" t="n">
        <v>141369300000</v>
      </c>
      <c r="AR11" s="16" t="n">
        <v>197870522800</v>
      </c>
      <c r="AS11" s="24">
        <f>HYPERLINK("https://github.com/lottpicker/daily1689/blob/main/summary-v15.txt", "Click view")</f>
        <v/>
      </c>
    </row>
    <row r="12">
      <c r="A12" t="n">
        <v>16</v>
      </c>
      <c r="B12" t="inlineStr">
        <is>
          <t>100-369</t>
        </is>
      </c>
      <c r="C12" t="inlineStr">
        <is>
          <t>270</t>
        </is>
      </c>
      <c r="D12" s="22" t="n">
        <v>138.83</v>
      </c>
      <c r="E12" s="16" t="n">
        <v>54891292100</v>
      </c>
      <c r="F12" t="n">
        <v>40801</v>
      </c>
      <c r="G12" t="n">
        <v>3423</v>
      </c>
      <c r="H12" t="inlineStr">
        <is>
          <t>83/270</t>
        </is>
      </c>
      <c r="I12" s="48" t="n">
        <v>30.74</v>
      </c>
      <c r="J12" t="inlineStr">
        <is>
          <t>178/270</t>
        </is>
      </c>
      <c r="K12" s="47" t="n">
        <v>65.93000000000001</v>
      </c>
      <c r="L12" t="inlineStr">
        <is>
          <t>95/270</t>
        </is>
      </c>
      <c r="M12" s="51" t="n">
        <v>35.19</v>
      </c>
      <c r="N12" t="inlineStr">
        <is>
          <t>67/270</t>
        </is>
      </c>
      <c r="O12" s="42" t="n">
        <v>24.81</v>
      </c>
      <c r="P12" t="inlineStr">
        <is>
          <t>58/270</t>
        </is>
      </c>
      <c r="Q12" s="49" t="n">
        <v>21.48</v>
      </c>
      <c r="R12" t="inlineStr">
        <is>
          <t>55/270</t>
        </is>
      </c>
      <c r="S12" t="n">
        <v>20.37</v>
      </c>
      <c r="T12" t="inlineStr">
        <is>
          <t>27/27</t>
        </is>
      </c>
      <c r="U12" s="13" t="n">
        <v>100</v>
      </c>
      <c r="V12" t="inlineStr">
        <is>
          <t>25/27</t>
        </is>
      </c>
      <c r="W12" s="26" t="n">
        <v>92.59</v>
      </c>
      <c r="X12" t="n">
        <v>34759</v>
      </c>
      <c r="Y12" t="n">
        <v>3201</v>
      </c>
      <c r="Z12" t="n">
        <v>37960</v>
      </c>
      <c r="AA12" t="n">
        <v>2349</v>
      </c>
      <c r="AB12" t="n">
        <v>217</v>
      </c>
      <c r="AC12" t="n">
        <v>2786</v>
      </c>
      <c r="AD12" t="n">
        <v>50</v>
      </c>
      <c r="AE12" t="n">
        <v>5</v>
      </c>
      <c r="AF12" s="13" t="n">
        <v>55</v>
      </c>
      <c r="AG12" t="n">
        <v>128.74</v>
      </c>
      <c r="AH12" t="n">
        <v>11.86</v>
      </c>
      <c r="AI12" t="n">
        <v>11.86</v>
      </c>
      <c r="AJ12" t="n">
        <v>10.32</v>
      </c>
      <c r="AK12" t="n">
        <v>0.8</v>
      </c>
      <c r="AL12" t="n">
        <v>0.8</v>
      </c>
      <c r="AM12" t="n">
        <v>0.19</v>
      </c>
      <c r="AN12" t="n">
        <v>0.02</v>
      </c>
      <c r="AO12" s="13" t="n">
        <v>0.2</v>
      </c>
      <c r="AP12" t="n">
        <v>128.07</v>
      </c>
      <c r="AQ12" s="12" t="n">
        <v>141369300000</v>
      </c>
      <c r="AR12" s="16" t="n">
        <v>196260592100</v>
      </c>
      <c r="AS12" s="24">
        <f>HYPERLINK("https://github.com/lottpicker/daily1689/blob/main/summary-v16.txt", "Click view")</f>
        <v/>
      </c>
    </row>
    <row r="13">
      <c r="A13" t="n">
        <v>17</v>
      </c>
      <c r="B13" t="inlineStr">
        <is>
          <t>100-369</t>
        </is>
      </c>
      <c r="C13" t="inlineStr">
        <is>
          <t>270</t>
        </is>
      </c>
      <c r="D13" s="42" t="n">
        <v>129.15</v>
      </c>
      <c r="E13" s="12" t="n">
        <v>41203948100</v>
      </c>
      <c r="F13" t="n">
        <v>40700</v>
      </c>
      <c r="G13" t="n">
        <v>3369</v>
      </c>
      <c r="H13" t="inlineStr">
        <is>
          <t>79/270</t>
        </is>
      </c>
      <c r="I13" s="49" t="n">
        <v>29.26</v>
      </c>
      <c r="J13" t="inlineStr">
        <is>
          <t>187/270</t>
        </is>
      </c>
      <c r="K13" s="48" t="n">
        <v>69.26000000000001</v>
      </c>
      <c r="L13" t="inlineStr">
        <is>
          <t>91/270</t>
        </is>
      </c>
      <c r="M13" s="42" t="n">
        <v>33.7</v>
      </c>
      <c r="N13" t="inlineStr">
        <is>
          <t>52/270</t>
        </is>
      </c>
      <c r="O13" t="n">
        <v>19.26</v>
      </c>
      <c r="P13" t="inlineStr">
        <is>
          <t>43/270</t>
        </is>
      </c>
      <c r="Q13" s="50" t="n">
        <v>15.93</v>
      </c>
      <c r="R13" t="inlineStr">
        <is>
          <t>43/270</t>
        </is>
      </c>
      <c r="S13" t="n">
        <v>15.93</v>
      </c>
      <c r="T13" t="inlineStr">
        <is>
          <t>27/27</t>
        </is>
      </c>
      <c r="U13" s="13" t="n">
        <v>100</v>
      </c>
      <c r="V13" t="inlineStr">
        <is>
          <t>25/27</t>
        </is>
      </c>
      <c r="W13" s="26" t="n">
        <v>92.59</v>
      </c>
      <c r="X13" t="n">
        <v>34731</v>
      </c>
      <c r="Y13" t="n">
        <v>3136</v>
      </c>
      <c r="Z13" t="n">
        <v>37867</v>
      </c>
      <c r="AA13" t="n">
        <v>2389</v>
      </c>
      <c r="AB13" t="n">
        <v>229</v>
      </c>
      <c r="AC13" t="n">
        <v>2790</v>
      </c>
      <c r="AD13" t="n">
        <v>39</v>
      </c>
      <c r="AE13" t="n">
        <v>4</v>
      </c>
      <c r="AF13" t="n">
        <v>43</v>
      </c>
      <c r="AG13" t="n">
        <v>128.63</v>
      </c>
      <c r="AH13" t="n">
        <v>11.61</v>
      </c>
      <c r="AI13" t="n">
        <v>11.61</v>
      </c>
      <c r="AJ13" t="n">
        <v>10.33</v>
      </c>
      <c r="AK13" t="n">
        <v>0.85</v>
      </c>
      <c r="AL13" t="n">
        <v>0.85</v>
      </c>
      <c r="AM13" t="n">
        <v>0.14</v>
      </c>
      <c r="AN13" t="n">
        <v>0.01</v>
      </c>
      <c r="AO13" t="n">
        <v>0.16</v>
      </c>
      <c r="AP13" t="n">
        <v>128.27</v>
      </c>
      <c r="AQ13" s="12" t="n">
        <v>141369300000</v>
      </c>
      <c r="AR13" s="12" t="n">
        <v>182573248100</v>
      </c>
      <c r="AS13" s="24">
        <f>HYPERLINK("https://github.com/lottpicker/daily1689/blob/main/summary-v17.txt", "Click view")</f>
        <v/>
      </c>
    </row>
    <row r="14">
      <c r="A14" t="n">
        <v>18</v>
      </c>
      <c r="B14" t="inlineStr">
        <is>
          <t>100-369</t>
        </is>
      </c>
      <c r="C14" t="inlineStr">
        <is>
          <t>270</t>
        </is>
      </c>
      <c r="D14" s="42" t="n">
        <v>131.91</v>
      </c>
      <c r="E14" s="12" t="n">
        <v>45116576700</v>
      </c>
      <c r="F14" t="n">
        <v>40715</v>
      </c>
      <c r="G14" t="n">
        <v>3314</v>
      </c>
      <c r="H14" t="inlineStr">
        <is>
          <t>87/270</t>
        </is>
      </c>
      <c r="I14" s="47" t="n">
        <v>32.22</v>
      </c>
      <c r="J14" t="inlineStr">
        <is>
          <t>176/270</t>
        </is>
      </c>
      <c r="K14" s="47" t="n">
        <v>65.19</v>
      </c>
      <c r="L14" t="inlineStr">
        <is>
          <t>94/270</t>
        </is>
      </c>
      <c r="M14" s="51" t="n">
        <v>34.81</v>
      </c>
      <c r="N14" t="inlineStr">
        <is>
          <t>59/270</t>
        </is>
      </c>
      <c r="O14" t="n">
        <v>21.85</v>
      </c>
      <c r="P14" t="inlineStr">
        <is>
          <t>52/270</t>
        </is>
      </c>
      <c r="Q14" s="50" t="n">
        <v>19.26</v>
      </c>
      <c r="R14" t="inlineStr">
        <is>
          <t>46/270</t>
        </is>
      </c>
      <c r="S14" t="n">
        <v>17.04</v>
      </c>
      <c r="T14" t="inlineStr">
        <is>
          <t>24/27</t>
        </is>
      </c>
      <c r="U14" t="n">
        <v>88.89</v>
      </c>
      <c r="V14" t="inlineStr">
        <is>
          <t>24/27</t>
        </is>
      </c>
      <c r="W14" t="n">
        <v>88.89</v>
      </c>
      <c r="X14" t="n">
        <v>34792</v>
      </c>
      <c r="Y14" t="n">
        <v>3079</v>
      </c>
      <c r="Z14" t="n">
        <v>37871</v>
      </c>
      <c r="AA14" t="n">
        <v>2383</v>
      </c>
      <c r="AB14" t="n">
        <v>231</v>
      </c>
      <c r="AC14" t="n">
        <v>2798</v>
      </c>
      <c r="AD14" t="n">
        <v>42</v>
      </c>
      <c r="AE14" t="n">
        <v>4</v>
      </c>
      <c r="AF14" t="n">
        <v>46</v>
      </c>
      <c r="AG14" t="n">
        <v>128.86</v>
      </c>
      <c r="AH14" t="n">
        <v>11.4</v>
      </c>
      <c r="AI14" t="n">
        <v>11.4</v>
      </c>
      <c r="AJ14" t="n">
        <v>10.36</v>
      </c>
      <c r="AK14" t="n">
        <v>0.86</v>
      </c>
      <c r="AL14" t="n">
        <v>0.86</v>
      </c>
      <c r="AM14" t="n">
        <v>0.16</v>
      </c>
      <c r="AN14" t="n">
        <v>0.01</v>
      </c>
      <c r="AO14" t="n">
        <v>0.17</v>
      </c>
      <c r="AP14" t="n">
        <v>128.47</v>
      </c>
      <c r="AQ14" s="12" t="n">
        <v>141369300000</v>
      </c>
      <c r="AR14" s="12" t="n">
        <v>186485876700</v>
      </c>
      <c r="AS14" s="24">
        <f>HYPERLINK("https://github.com/lottpicker/daily1689/blob/main/summary-v18.txt", "Click view")</f>
        <v/>
      </c>
    </row>
    <row r="15">
      <c r="A15" t="n">
        <v>19</v>
      </c>
      <c r="B15" t="inlineStr">
        <is>
          <t>100-369</t>
        </is>
      </c>
      <c r="C15" t="inlineStr">
        <is>
          <t>270</t>
        </is>
      </c>
      <c r="D15" s="42" t="n">
        <v>122.59</v>
      </c>
      <c r="E15" s="12" t="n">
        <v>31933342100</v>
      </c>
      <c r="F15" t="n">
        <v>40700</v>
      </c>
      <c r="G15" t="n">
        <v>3338</v>
      </c>
      <c r="H15" t="inlineStr">
        <is>
          <t>101/270</t>
        </is>
      </c>
      <c r="I15" s="47" t="n">
        <v>37.41</v>
      </c>
      <c r="J15" t="inlineStr">
        <is>
          <t>164/270</t>
        </is>
      </c>
      <c r="K15" s="47" t="n">
        <v>60.74</v>
      </c>
      <c r="L15" t="inlineStr">
        <is>
          <t>85/270</t>
        </is>
      </c>
      <c r="M15" s="42" t="n">
        <v>31.48</v>
      </c>
      <c r="N15" t="inlineStr">
        <is>
          <t>48/270</t>
        </is>
      </c>
      <c r="O15" t="n">
        <v>17.78</v>
      </c>
      <c r="P15" t="inlineStr">
        <is>
          <t>41/270</t>
        </is>
      </c>
      <c r="Q15" s="50" t="n">
        <v>15.19</v>
      </c>
      <c r="R15" t="inlineStr">
        <is>
          <t>39/270</t>
        </is>
      </c>
      <c r="S15" t="n">
        <v>14.44</v>
      </c>
      <c r="T15" t="inlineStr">
        <is>
          <t>24/27</t>
        </is>
      </c>
      <c r="U15" t="n">
        <v>88.89</v>
      </c>
      <c r="V15" t="inlineStr">
        <is>
          <t>22/27</t>
        </is>
      </c>
      <c r="W15" t="n">
        <v>81.48</v>
      </c>
      <c r="X15" t="n">
        <v>34741</v>
      </c>
      <c r="Y15" t="n">
        <v>3132</v>
      </c>
      <c r="Z15" t="n">
        <v>37873</v>
      </c>
      <c r="AA15" t="n">
        <v>2429</v>
      </c>
      <c r="AB15" t="n">
        <v>203</v>
      </c>
      <c r="AC15" t="n">
        <v>2788</v>
      </c>
      <c r="AD15" t="n">
        <v>36</v>
      </c>
      <c r="AE15" t="n">
        <v>3</v>
      </c>
      <c r="AF15" t="n">
        <v>39</v>
      </c>
      <c r="AG15" t="n">
        <v>128.67</v>
      </c>
      <c r="AH15" t="n">
        <v>11.6</v>
      </c>
      <c r="AI15" t="n">
        <v>11.6</v>
      </c>
      <c r="AJ15" t="n">
        <v>10.33</v>
      </c>
      <c r="AK15" t="n">
        <v>0.75</v>
      </c>
      <c r="AL15" t="n">
        <v>0.75</v>
      </c>
      <c r="AM15" t="n">
        <v>0.13</v>
      </c>
      <c r="AN15" t="n">
        <v>0.01</v>
      </c>
      <c r="AO15" t="n">
        <v>0.14</v>
      </c>
      <c r="AP15" t="n">
        <v>128.39</v>
      </c>
      <c r="AQ15" s="12" t="n">
        <v>141369300000</v>
      </c>
      <c r="AR15" s="12" t="n">
        <v>173302642100</v>
      </c>
      <c r="AS15" s="24">
        <f>HYPERLINK("https://github.com/lottpicker/daily1689/blob/main/summary-v19.txt", "Click view")</f>
        <v/>
      </c>
    </row>
    <row r="16">
      <c r="A16" t="n">
        <v>20</v>
      </c>
      <c r="B16" t="inlineStr">
        <is>
          <t>100-369</t>
        </is>
      </c>
      <c r="C16" t="inlineStr">
        <is>
          <t>270</t>
        </is>
      </c>
      <c r="D16" s="22" t="n">
        <v>138.19</v>
      </c>
      <c r="E16" s="16" t="n">
        <v>53991379900</v>
      </c>
      <c r="F16" t="n">
        <v>40771</v>
      </c>
      <c r="G16" t="n">
        <v>3411</v>
      </c>
      <c r="H16" t="inlineStr">
        <is>
          <t>91/270</t>
        </is>
      </c>
      <c r="I16" s="47" t="n">
        <v>33.7</v>
      </c>
      <c r="J16" t="inlineStr">
        <is>
          <t>177/270</t>
        </is>
      </c>
      <c r="K16" s="47" t="n">
        <v>65.56</v>
      </c>
      <c r="L16" t="inlineStr">
        <is>
          <t>97/270</t>
        </is>
      </c>
      <c r="M16" s="51" t="n">
        <v>35.93</v>
      </c>
      <c r="N16" t="inlineStr">
        <is>
          <t>68/270</t>
        </is>
      </c>
      <c r="O16" s="42" t="n">
        <v>25.19</v>
      </c>
      <c r="P16" t="inlineStr">
        <is>
          <t>57/270</t>
        </is>
      </c>
      <c r="Q16" s="49" t="n">
        <v>21.11</v>
      </c>
      <c r="R16" t="inlineStr">
        <is>
          <t>55/270</t>
        </is>
      </c>
      <c r="S16" t="n">
        <v>20.37</v>
      </c>
      <c r="T16" t="inlineStr">
        <is>
          <t>27/27</t>
        </is>
      </c>
      <c r="U16" s="13" t="n">
        <v>100</v>
      </c>
      <c r="V16" t="inlineStr">
        <is>
          <t>27/27</t>
        </is>
      </c>
      <c r="W16" s="13" t="n">
        <v>100</v>
      </c>
      <c r="X16" t="n">
        <v>34726</v>
      </c>
      <c r="Y16" t="n">
        <v>3198</v>
      </c>
      <c r="Z16" t="n">
        <v>37924</v>
      </c>
      <c r="AA16" t="n">
        <v>2361</v>
      </c>
      <c r="AB16" t="n">
        <v>211</v>
      </c>
      <c r="AC16" t="n">
        <v>2792</v>
      </c>
      <c r="AD16" t="n">
        <v>53</v>
      </c>
      <c r="AE16" t="n">
        <v>2</v>
      </c>
      <c r="AF16" s="13" t="n">
        <v>55</v>
      </c>
      <c r="AG16" t="n">
        <v>128.61</v>
      </c>
      <c r="AH16" t="n">
        <v>11.84</v>
      </c>
      <c r="AI16" t="n">
        <v>11.84</v>
      </c>
      <c r="AJ16" t="n">
        <v>10.34</v>
      </c>
      <c r="AK16" t="n">
        <v>0.78</v>
      </c>
      <c r="AL16" t="n">
        <v>0.78</v>
      </c>
      <c r="AM16" t="n">
        <v>0.2</v>
      </c>
      <c r="AN16" t="n">
        <v>0.01</v>
      </c>
      <c r="AO16" s="13" t="n">
        <v>0.2</v>
      </c>
      <c r="AP16" t="n">
        <v>128.11</v>
      </c>
      <c r="AQ16" s="12" t="n">
        <v>141369300000</v>
      </c>
      <c r="AR16" s="16" t="n">
        <v>195360679900</v>
      </c>
      <c r="AS16" s="24">
        <f>HYPERLINK("https://github.com/lottpicker/daily1689/blob/main/summary-v20.txt", "Click view")</f>
        <v/>
      </c>
    </row>
    <row r="17">
      <c r="A17" t="n">
        <v>21</v>
      </c>
      <c r="B17" t="inlineStr">
        <is>
          <t>100-369</t>
        </is>
      </c>
      <c r="C17" t="inlineStr">
        <is>
          <t>270</t>
        </is>
      </c>
      <c r="D17" s="42" t="n">
        <v>119.58</v>
      </c>
      <c r="E17" s="12" t="n">
        <v>27678827000</v>
      </c>
      <c r="F17" t="n">
        <v>40686</v>
      </c>
      <c r="G17" t="n">
        <v>3412</v>
      </c>
      <c r="H17" t="inlineStr">
        <is>
          <t>112/270</t>
        </is>
      </c>
      <c r="I17" s="47" t="n">
        <v>41.48</v>
      </c>
      <c r="J17" t="inlineStr">
        <is>
          <t>157/270</t>
        </is>
      </c>
      <c r="K17" s="47" t="n">
        <v>58.15</v>
      </c>
      <c r="L17" t="inlineStr">
        <is>
          <t>79/270</t>
        </is>
      </c>
      <c r="M17" s="42" t="n">
        <v>29.26</v>
      </c>
      <c r="N17" t="inlineStr">
        <is>
          <t>45/270</t>
        </is>
      </c>
      <c r="O17" t="n">
        <v>16.67</v>
      </c>
      <c r="P17" t="inlineStr">
        <is>
          <t>38/270</t>
        </is>
      </c>
      <c r="Q17" s="50" t="n">
        <v>14.07</v>
      </c>
      <c r="R17" t="inlineStr">
        <is>
          <t>36/270</t>
        </is>
      </c>
      <c r="S17" t="n">
        <v>13.33</v>
      </c>
      <c r="T17" t="inlineStr">
        <is>
          <t>22/27</t>
        </is>
      </c>
      <c r="U17" t="n">
        <v>81.48</v>
      </c>
      <c r="V17" t="inlineStr">
        <is>
          <t>18/27</t>
        </is>
      </c>
      <c r="W17" t="n">
        <v>66.67</v>
      </c>
      <c r="X17" t="n">
        <v>34659</v>
      </c>
      <c r="Y17" t="n">
        <v>3209</v>
      </c>
      <c r="Z17" t="n">
        <v>37868</v>
      </c>
      <c r="AA17" t="n">
        <v>2440</v>
      </c>
      <c r="AB17" t="n">
        <v>198</v>
      </c>
      <c r="AC17" t="n">
        <v>2782</v>
      </c>
      <c r="AD17" t="n">
        <v>31</v>
      </c>
      <c r="AE17" t="n">
        <v>5</v>
      </c>
      <c r="AF17" t="n">
        <v>36</v>
      </c>
      <c r="AG17" t="n">
        <v>128.37</v>
      </c>
      <c r="AH17" t="n">
        <v>11.89</v>
      </c>
      <c r="AI17" t="n">
        <v>11.89</v>
      </c>
      <c r="AJ17" t="n">
        <v>10.3</v>
      </c>
      <c r="AK17" t="n">
        <v>0.73</v>
      </c>
      <c r="AL17" t="n">
        <v>0.73</v>
      </c>
      <c r="AM17" t="n">
        <v>0.11</v>
      </c>
      <c r="AN17" t="n">
        <v>0.02</v>
      </c>
      <c r="AO17" t="n">
        <v>0.13</v>
      </c>
      <c r="AP17" t="n">
        <v>128.11</v>
      </c>
      <c r="AQ17" s="12" t="n">
        <v>141369300000</v>
      </c>
      <c r="AR17" s="12" t="n">
        <v>169048127000</v>
      </c>
      <c r="AS17" s="24">
        <f>HYPERLINK("https://github.com/lottpicker/daily1689/blob/main/summary-v21.txt", "Click view")</f>
        <v/>
      </c>
    </row>
    <row r="18">
      <c r="A18" t="n">
        <v>22</v>
      </c>
      <c r="B18" t="inlineStr">
        <is>
          <t>100-369</t>
        </is>
      </c>
      <c r="C18" t="inlineStr">
        <is>
          <t>270</t>
        </is>
      </c>
      <c r="D18" s="42" t="n">
        <v>124.24</v>
      </c>
      <c r="E18" s="12" t="n">
        <v>34261464900</v>
      </c>
      <c r="F18" t="n">
        <v>40635</v>
      </c>
      <c r="G18" t="n">
        <v>3414</v>
      </c>
      <c r="H18" t="inlineStr">
        <is>
          <t>96/270</t>
        </is>
      </c>
      <c r="I18" s="47" t="n">
        <v>35.56</v>
      </c>
      <c r="J18" t="inlineStr">
        <is>
          <t>171/270</t>
        </is>
      </c>
      <c r="K18" s="47" t="n">
        <v>63.33</v>
      </c>
      <c r="L18" t="inlineStr">
        <is>
          <t>87/270</t>
        </is>
      </c>
      <c r="M18" s="42" t="n">
        <v>32.22</v>
      </c>
      <c r="N18" t="inlineStr">
        <is>
          <t>54/270</t>
        </is>
      </c>
      <c r="O18" t="n">
        <v>20</v>
      </c>
      <c r="P18" t="inlineStr">
        <is>
          <t>42/270</t>
        </is>
      </c>
      <c r="Q18" s="50" t="n">
        <v>15.56</v>
      </c>
      <c r="R18" t="inlineStr">
        <is>
          <t>39/270</t>
        </is>
      </c>
      <c r="S18" t="n">
        <v>14.44</v>
      </c>
      <c r="T18" t="inlineStr">
        <is>
          <t>22/27</t>
        </is>
      </c>
      <c r="U18" t="n">
        <v>81.48</v>
      </c>
      <c r="V18" t="inlineStr">
        <is>
          <t>19/27</t>
        </is>
      </c>
      <c r="W18" t="n">
        <v>70.37</v>
      </c>
      <c r="X18" t="n">
        <v>34581</v>
      </c>
      <c r="Y18" t="n">
        <v>3200</v>
      </c>
      <c r="Z18" t="n">
        <v>37781</v>
      </c>
      <c r="AA18" t="n">
        <v>2446</v>
      </c>
      <c r="AB18" t="n">
        <v>213</v>
      </c>
      <c r="AC18" t="n">
        <v>2815</v>
      </c>
      <c r="AD18" t="n">
        <v>38</v>
      </c>
      <c r="AE18" t="n">
        <v>1</v>
      </c>
      <c r="AF18" t="n">
        <v>39</v>
      </c>
      <c r="AG18" t="n">
        <v>128.08</v>
      </c>
      <c r="AH18" t="n">
        <v>11.85</v>
      </c>
      <c r="AI18" t="n">
        <v>11.85</v>
      </c>
      <c r="AJ18" t="n">
        <v>10.43</v>
      </c>
      <c r="AK18" t="n">
        <v>0.79</v>
      </c>
      <c r="AL18" t="n">
        <v>0.79</v>
      </c>
      <c r="AM18" t="n">
        <v>0.14</v>
      </c>
      <c r="AN18" t="n">
        <v>0</v>
      </c>
      <c r="AO18" t="n">
        <v>0.14</v>
      </c>
      <c r="AP18" t="n">
        <v>128.1</v>
      </c>
      <c r="AQ18" s="12" t="n">
        <v>141369300000</v>
      </c>
      <c r="AR18" s="12" t="n">
        <v>175630764900</v>
      </c>
      <c r="AS18" s="24">
        <f>HYPERLINK("https://github.com/lottpicker/daily1689/blob/main/summary-v22.txt", "Click view")</f>
        <v/>
      </c>
    </row>
    <row r="19">
      <c r="A19" t="n">
        <v>23</v>
      </c>
      <c r="B19" t="inlineStr">
        <is>
          <t>100-369</t>
        </is>
      </c>
      <c r="C19" t="inlineStr">
        <is>
          <t>270</t>
        </is>
      </c>
      <c r="D19" s="42" t="n">
        <v>123.59</v>
      </c>
      <c r="E19" s="12" t="n">
        <v>33350136600</v>
      </c>
      <c r="F19" t="n">
        <v>40670</v>
      </c>
      <c r="G19" t="n">
        <v>3413</v>
      </c>
      <c r="H19" t="inlineStr">
        <is>
          <t>91/270</t>
        </is>
      </c>
      <c r="I19" s="47" t="n">
        <v>33.7</v>
      </c>
      <c r="J19" t="inlineStr">
        <is>
          <t>177/270</t>
        </is>
      </c>
      <c r="K19" s="47" t="n">
        <v>65.56</v>
      </c>
      <c r="L19" t="inlineStr">
        <is>
          <t>86/270</t>
        </is>
      </c>
      <c r="M19" s="42" t="n">
        <v>31.85</v>
      </c>
      <c r="N19" t="inlineStr">
        <is>
          <t>50/270</t>
        </is>
      </c>
      <c r="O19" t="n">
        <v>18.52</v>
      </c>
      <c r="P19" t="inlineStr">
        <is>
          <t>38/270</t>
        </is>
      </c>
      <c r="Q19" s="50" t="n">
        <v>14.07</v>
      </c>
      <c r="R19" t="inlineStr">
        <is>
          <t>37/270</t>
        </is>
      </c>
      <c r="S19" t="n">
        <v>13.7</v>
      </c>
      <c r="T19" t="inlineStr">
        <is>
          <t>25/27</t>
        </is>
      </c>
      <c r="U19" s="15" t="n">
        <v>92.59</v>
      </c>
      <c r="V19" t="inlineStr">
        <is>
          <t>19/27</t>
        </is>
      </c>
      <c r="W19" t="n">
        <v>70.37</v>
      </c>
      <c r="X19" t="n">
        <v>34661</v>
      </c>
      <c r="Y19" t="n">
        <v>3184</v>
      </c>
      <c r="Z19" t="n">
        <v>37845</v>
      </c>
      <c r="AA19" t="n">
        <v>2414</v>
      </c>
      <c r="AB19" t="n">
        <v>226</v>
      </c>
      <c r="AC19" t="n">
        <v>2788</v>
      </c>
      <c r="AD19" t="n">
        <v>34</v>
      </c>
      <c r="AE19" t="n">
        <v>3</v>
      </c>
      <c r="AF19" t="n">
        <v>37</v>
      </c>
      <c r="AG19" t="n">
        <v>128.37</v>
      </c>
      <c r="AH19" t="n">
        <v>11.79</v>
      </c>
      <c r="AI19" t="n">
        <v>11.79</v>
      </c>
      <c r="AJ19" t="n">
        <v>10.33</v>
      </c>
      <c r="AK19" t="n">
        <v>0.84</v>
      </c>
      <c r="AL19" t="n">
        <v>0.84</v>
      </c>
      <c r="AM19" t="n">
        <v>0.13</v>
      </c>
      <c r="AN19" t="n">
        <v>0.01</v>
      </c>
      <c r="AO19" t="n">
        <v>0.14</v>
      </c>
      <c r="AP19" t="n">
        <v>128.11</v>
      </c>
      <c r="AQ19" s="12" t="n">
        <v>141369300000</v>
      </c>
      <c r="AR19" s="12" t="n">
        <v>174719436600</v>
      </c>
      <c r="AS19" s="24">
        <f>HYPERLINK("https://github.com/lottpicker/daily1689/blob/main/summary-v23.txt", "Click view")</f>
        <v/>
      </c>
    </row>
    <row r="20">
      <c r="A20" t="n">
        <v>24</v>
      </c>
      <c r="B20" t="inlineStr">
        <is>
          <t>100-369</t>
        </is>
      </c>
      <c r="C20" t="inlineStr">
        <is>
          <t>270</t>
        </is>
      </c>
      <c r="D20" s="42" t="n">
        <v>124.12</v>
      </c>
      <c r="E20" s="12" t="n">
        <v>34094442400</v>
      </c>
      <c r="F20" t="n">
        <v>40671</v>
      </c>
      <c r="G20" t="n">
        <v>3419</v>
      </c>
      <c r="H20" t="inlineStr">
        <is>
          <t>86/270</t>
        </is>
      </c>
      <c r="I20" s="47" t="n">
        <v>31.85</v>
      </c>
      <c r="J20" t="inlineStr">
        <is>
          <t>177/270</t>
        </is>
      </c>
      <c r="K20" s="47" t="n">
        <v>65.56</v>
      </c>
      <c r="L20" t="inlineStr">
        <is>
          <t>84/270</t>
        </is>
      </c>
      <c r="M20" s="42" t="n">
        <v>31.11</v>
      </c>
      <c r="N20" t="inlineStr">
        <is>
          <t>45/270</t>
        </is>
      </c>
      <c r="O20" t="n">
        <v>16.67</v>
      </c>
      <c r="P20" t="inlineStr">
        <is>
          <t>41/270</t>
        </is>
      </c>
      <c r="Q20" s="50" t="n">
        <v>15.19</v>
      </c>
      <c r="R20" t="inlineStr">
        <is>
          <t>38/270</t>
        </is>
      </c>
      <c r="S20" t="n">
        <v>14.07</v>
      </c>
      <c r="T20" t="inlineStr">
        <is>
          <t>25/27</t>
        </is>
      </c>
      <c r="U20" s="15" t="n">
        <v>92.59</v>
      </c>
      <c r="V20" t="inlineStr">
        <is>
          <t>25/27</t>
        </is>
      </c>
      <c r="W20" s="26" t="n">
        <v>92.59</v>
      </c>
      <c r="X20" t="n">
        <v>34646</v>
      </c>
      <c r="Y20" t="n">
        <v>3197</v>
      </c>
      <c r="Z20" t="n">
        <v>37843</v>
      </c>
      <c r="AA20" t="n">
        <v>2416</v>
      </c>
      <c r="AB20" t="n">
        <v>222</v>
      </c>
      <c r="AC20" t="n">
        <v>2790</v>
      </c>
      <c r="AD20" t="n">
        <v>38</v>
      </c>
      <c r="AE20" t="n">
        <v>0</v>
      </c>
      <c r="AF20" t="n">
        <v>38</v>
      </c>
      <c r="AG20" t="n">
        <v>128.32</v>
      </c>
      <c r="AH20" t="n">
        <v>11.84</v>
      </c>
      <c r="AI20" t="n">
        <v>11.84</v>
      </c>
      <c r="AJ20" t="n">
        <v>10.33</v>
      </c>
      <c r="AK20" t="n">
        <v>0.82</v>
      </c>
      <c r="AL20" t="n">
        <v>0.82</v>
      </c>
      <c r="AM20" t="n">
        <v>0.14</v>
      </c>
      <c r="AN20" t="n">
        <v>0</v>
      </c>
      <c r="AO20" t="n">
        <v>0.14</v>
      </c>
      <c r="AP20" t="n">
        <v>128.09</v>
      </c>
      <c r="AQ20" s="12" t="n">
        <v>141369300000</v>
      </c>
      <c r="AR20" s="12" t="n">
        <v>175463742400</v>
      </c>
      <c r="AS20" s="24">
        <f>HYPERLINK("https://github.com/lottpicker/daily1689/blob/main/summary-v24.txt", "Click view")</f>
        <v/>
      </c>
    </row>
    <row r="21">
      <c r="A21" t="n">
        <v>25</v>
      </c>
      <c r="B21" t="inlineStr">
        <is>
          <t>100-369</t>
        </is>
      </c>
      <c r="C21" t="inlineStr">
        <is>
          <t>270</t>
        </is>
      </c>
      <c r="D21" s="42" t="n">
        <v>130.8</v>
      </c>
      <c r="E21" s="12" t="n">
        <v>43544659200</v>
      </c>
      <c r="F21" t="n">
        <v>40732</v>
      </c>
      <c r="G21" t="n">
        <v>3363</v>
      </c>
      <c r="H21" t="inlineStr">
        <is>
          <t>86/270</t>
        </is>
      </c>
      <c r="I21" s="47" t="n">
        <v>31.85</v>
      </c>
      <c r="J21" t="inlineStr">
        <is>
          <t>177/270</t>
        </is>
      </c>
      <c r="K21" s="47" t="n">
        <v>65.56</v>
      </c>
      <c r="L21" t="inlineStr">
        <is>
          <t>95/270</t>
        </is>
      </c>
      <c r="M21" s="51" t="n">
        <v>35.19</v>
      </c>
      <c r="N21" t="inlineStr">
        <is>
          <t>56/270</t>
        </is>
      </c>
      <c r="O21" t="n">
        <v>20.74</v>
      </c>
      <c r="P21" t="inlineStr">
        <is>
          <t>49/270</t>
        </is>
      </c>
      <c r="Q21" s="50" t="n">
        <v>18.15</v>
      </c>
      <c r="R21" t="inlineStr">
        <is>
          <t>45/270</t>
        </is>
      </c>
      <c r="S21" t="n">
        <v>16.67</v>
      </c>
      <c r="T21" t="inlineStr">
        <is>
          <t>25/27</t>
        </is>
      </c>
      <c r="U21" s="15" t="n">
        <v>92.59</v>
      </c>
      <c r="V21" t="inlineStr">
        <is>
          <t>22/27</t>
        </is>
      </c>
      <c r="W21" t="n">
        <v>81.48</v>
      </c>
      <c r="X21" t="n">
        <v>34767</v>
      </c>
      <c r="Y21" t="n">
        <v>3134</v>
      </c>
      <c r="Z21" t="n">
        <v>37901</v>
      </c>
      <c r="AA21" t="n">
        <v>2378</v>
      </c>
      <c r="AB21" t="n">
        <v>228</v>
      </c>
      <c r="AC21" t="n">
        <v>2786</v>
      </c>
      <c r="AD21" t="n">
        <v>44</v>
      </c>
      <c r="AE21" t="n">
        <v>1</v>
      </c>
      <c r="AF21" t="n">
        <v>45</v>
      </c>
      <c r="AG21" t="n">
        <v>128.77</v>
      </c>
      <c r="AH21" t="n">
        <v>11.61</v>
      </c>
      <c r="AI21" t="n">
        <v>11.61</v>
      </c>
      <c r="AJ21" t="n">
        <v>10.32</v>
      </c>
      <c r="AK21" t="n">
        <v>0.84</v>
      </c>
      <c r="AL21" t="n">
        <v>0.84</v>
      </c>
      <c r="AM21" t="n">
        <v>0.16</v>
      </c>
      <c r="AN21" t="n">
        <v>0</v>
      </c>
      <c r="AO21" t="n">
        <v>0.17</v>
      </c>
      <c r="AP21" t="n">
        <v>128.29</v>
      </c>
      <c r="AQ21" s="12" t="n">
        <v>141369300000</v>
      </c>
      <c r="AR21" s="12" t="n">
        <v>184913959200</v>
      </c>
      <c r="AS21" s="24">
        <f>HYPERLINK("https://github.com/lottpicker/daily1689/blob/main/summary-v25.txt", "Click view")</f>
        <v/>
      </c>
    </row>
    <row r="22">
      <c r="A22" t="n">
        <v>26</v>
      </c>
      <c r="B22" t="inlineStr">
        <is>
          <t>100-369</t>
        </is>
      </c>
      <c r="C22" t="inlineStr">
        <is>
          <t>270</t>
        </is>
      </c>
      <c r="D22" s="42" t="n">
        <v>133.04</v>
      </c>
      <c r="E22" s="12" t="n">
        <v>46705171100</v>
      </c>
      <c r="F22" t="n">
        <v>40727</v>
      </c>
      <c r="G22" t="n">
        <v>3298</v>
      </c>
      <c r="H22" t="inlineStr">
        <is>
          <t>95/270</t>
        </is>
      </c>
      <c r="I22" s="47" t="n">
        <v>35.19</v>
      </c>
      <c r="J22" t="inlineStr">
        <is>
          <t>166/270</t>
        </is>
      </c>
      <c r="K22" s="47" t="n">
        <v>61.48</v>
      </c>
      <c r="L22" t="inlineStr">
        <is>
          <t>94/270</t>
        </is>
      </c>
      <c r="M22" s="51" t="n">
        <v>34.81</v>
      </c>
      <c r="N22" t="inlineStr">
        <is>
          <t>64/270</t>
        </is>
      </c>
      <c r="O22" s="42" t="n">
        <v>23.7</v>
      </c>
      <c r="P22" t="inlineStr">
        <is>
          <t>53/270</t>
        </is>
      </c>
      <c r="Q22" s="50" t="n">
        <v>19.63</v>
      </c>
      <c r="R22" t="inlineStr">
        <is>
          <t>48/270</t>
        </is>
      </c>
      <c r="S22" t="n">
        <v>17.78</v>
      </c>
      <c r="T22" t="inlineStr">
        <is>
          <t>26/27</t>
        </is>
      </c>
      <c r="U22" s="14" t="n">
        <v>96.3</v>
      </c>
      <c r="V22" t="inlineStr">
        <is>
          <t>23/27</t>
        </is>
      </c>
      <c r="W22" t="n">
        <v>85.19</v>
      </c>
      <c r="X22" t="n">
        <v>34807</v>
      </c>
      <c r="Y22" t="n">
        <v>3071</v>
      </c>
      <c r="Z22" t="n">
        <v>37878</v>
      </c>
      <c r="AA22" t="n">
        <v>2384</v>
      </c>
      <c r="AB22" t="n">
        <v>225</v>
      </c>
      <c r="AC22" t="n">
        <v>2801</v>
      </c>
      <c r="AD22" t="n">
        <v>46</v>
      </c>
      <c r="AE22" t="n">
        <v>2</v>
      </c>
      <c r="AF22" t="n">
        <v>48</v>
      </c>
      <c r="AG22" t="n">
        <v>128.91</v>
      </c>
      <c r="AH22" t="n">
        <v>11.37</v>
      </c>
      <c r="AI22" t="n">
        <v>11.37</v>
      </c>
      <c r="AJ22" t="n">
        <v>10.37</v>
      </c>
      <c r="AK22" t="n">
        <v>0.83</v>
      </c>
      <c r="AL22" t="n">
        <v>0.83</v>
      </c>
      <c r="AM22" t="n">
        <v>0.17</v>
      </c>
      <c r="AN22" t="n">
        <v>0.01</v>
      </c>
      <c r="AO22" t="n">
        <v>0.18</v>
      </c>
      <c r="AP22" t="n">
        <v>128.53</v>
      </c>
      <c r="AQ22" s="12" t="n">
        <v>141369300000</v>
      </c>
      <c r="AR22" s="12" t="n">
        <v>188074471100</v>
      </c>
      <c r="AS22" s="24">
        <f>HYPERLINK("https://github.com/lottpicker/daily1689/blob/main/summary-v26.txt", "Click view")</f>
        <v/>
      </c>
    </row>
    <row r="23">
      <c r="A23" t="n">
        <v>27</v>
      </c>
      <c r="B23" t="inlineStr">
        <is>
          <t>100-369</t>
        </is>
      </c>
      <c r="C23" t="inlineStr">
        <is>
          <t>270</t>
        </is>
      </c>
      <c r="D23" s="42" t="n">
        <v>134.14</v>
      </c>
      <c r="E23" s="12" t="n">
        <v>48261703300</v>
      </c>
      <c r="F23" t="n">
        <v>40740</v>
      </c>
      <c r="G23" t="n">
        <v>3322</v>
      </c>
      <c r="H23" t="inlineStr">
        <is>
          <t>91/270</t>
        </is>
      </c>
      <c r="I23" s="47" t="n">
        <v>33.7</v>
      </c>
      <c r="J23" t="inlineStr">
        <is>
          <t>170/270</t>
        </is>
      </c>
      <c r="K23" s="47" t="n">
        <v>62.96</v>
      </c>
      <c r="L23" t="inlineStr">
        <is>
          <t>90/270</t>
        </is>
      </c>
      <c r="M23" s="42" t="n">
        <v>33.33</v>
      </c>
      <c r="N23" t="inlineStr">
        <is>
          <t>66/270</t>
        </is>
      </c>
      <c r="O23" s="42" t="n">
        <v>24.44</v>
      </c>
      <c r="P23" t="inlineStr">
        <is>
          <t>54/270</t>
        </is>
      </c>
      <c r="Q23" s="48" t="n">
        <v>20</v>
      </c>
      <c r="R23" t="inlineStr">
        <is>
          <t>51/270</t>
        </is>
      </c>
      <c r="S23" t="n">
        <v>18.89</v>
      </c>
      <c r="T23" t="inlineStr">
        <is>
          <t>27/27</t>
        </is>
      </c>
      <c r="U23" s="14" t="n">
        <v>100</v>
      </c>
      <c r="V23" t="inlineStr">
        <is>
          <t>27/27</t>
        </is>
      </c>
      <c r="W23" s="13" t="n">
        <v>100</v>
      </c>
      <c r="X23" t="n">
        <v>34772</v>
      </c>
      <c r="Y23" t="n">
        <v>3112</v>
      </c>
      <c r="Z23" t="n">
        <v>37884</v>
      </c>
      <c r="AA23" t="n">
        <v>2392</v>
      </c>
      <c r="AB23" t="n">
        <v>209</v>
      </c>
      <c r="AC23" t="n">
        <v>2805</v>
      </c>
      <c r="AD23" t="n">
        <v>50</v>
      </c>
      <c r="AE23" t="n">
        <v>1</v>
      </c>
      <c r="AF23" s="13" t="n">
        <v>51</v>
      </c>
      <c r="AG23" t="n">
        <v>128.79</v>
      </c>
      <c r="AH23" t="n">
        <v>11.53</v>
      </c>
      <c r="AI23" t="n">
        <v>11.53</v>
      </c>
      <c r="AJ23" t="n">
        <v>10.39</v>
      </c>
      <c r="AK23" t="n">
        <v>0.77</v>
      </c>
      <c r="AL23" t="n">
        <v>0.77</v>
      </c>
      <c r="AM23" t="n">
        <v>0.19</v>
      </c>
      <c r="AN23" t="n">
        <v>0</v>
      </c>
      <c r="AO23" t="n">
        <v>0.19</v>
      </c>
      <c r="AP23" t="n">
        <v>128.44</v>
      </c>
      <c r="AQ23" s="12" t="n">
        <v>141369300000</v>
      </c>
      <c r="AR23" s="12" t="n">
        <v>189631003300</v>
      </c>
      <c r="AS23" s="24">
        <f>HYPERLINK("https://github.com/lottpicker/daily1689/blob/main/summary-v27.txt", "Click view")</f>
        <v/>
      </c>
    </row>
    <row r="24">
      <c r="A24" t="n">
        <v>28</v>
      </c>
      <c r="B24" t="inlineStr">
        <is>
          <t>100-369</t>
        </is>
      </c>
      <c r="C24" t="inlineStr">
        <is>
          <t>270</t>
        </is>
      </c>
      <c r="D24" s="42" t="n">
        <v>129.31</v>
      </c>
      <c r="E24" s="12" t="n">
        <v>41428724000</v>
      </c>
      <c r="F24" t="n">
        <v>40733</v>
      </c>
      <c r="G24" t="n">
        <v>3334</v>
      </c>
      <c r="H24" t="inlineStr">
        <is>
          <t>93/270</t>
        </is>
      </c>
      <c r="I24" s="47" t="n">
        <v>34.44</v>
      </c>
      <c r="J24" t="inlineStr">
        <is>
          <t>168/270</t>
        </is>
      </c>
      <c r="K24" s="47" t="n">
        <v>62.22</v>
      </c>
      <c r="L24" t="inlineStr">
        <is>
          <t>84/270</t>
        </is>
      </c>
      <c r="M24" s="42" t="n">
        <v>31.11</v>
      </c>
      <c r="N24" t="inlineStr">
        <is>
          <t>58/270</t>
        </is>
      </c>
      <c r="O24" t="n">
        <v>21.48</v>
      </c>
      <c r="P24" t="inlineStr">
        <is>
          <t>49/270</t>
        </is>
      </c>
      <c r="Q24" s="50" t="n">
        <v>18.15</v>
      </c>
      <c r="R24" t="inlineStr">
        <is>
          <t>47/270</t>
        </is>
      </c>
      <c r="S24" t="n">
        <v>17.41</v>
      </c>
      <c r="T24" t="inlineStr">
        <is>
          <t>26/27</t>
        </is>
      </c>
      <c r="U24" s="14" t="n">
        <v>96.3</v>
      </c>
      <c r="V24" t="inlineStr">
        <is>
          <t>24/27</t>
        </is>
      </c>
      <c r="W24" t="n">
        <v>88.89</v>
      </c>
      <c r="X24" t="n">
        <v>34756</v>
      </c>
      <c r="Y24" t="n">
        <v>3134</v>
      </c>
      <c r="Z24" t="n">
        <v>37890</v>
      </c>
      <c r="AA24" t="n">
        <v>2410</v>
      </c>
      <c r="AB24" t="n">
        <v>198</v>
      </c>
      <c r="AC24" t="n">
        <v>2796</v>
      </c>
      <c r="AD24" t="n">
        <v>45</v>
      </c>
      <c r="AE24" t="n">
        <v>2</v>
      </c>
      <c r="AF24" t="n">
        <v>47</v>
      </c>
      <c r="AG24" t="n">
        <v>128.73</v>
      </c>
      <c r="AH24" t="n">
        <v>11.61</v>
      </c>
      <c r="AI24" t="n">
        <v>11.61</v>
      </c>
      <c r="AJ24" t="n">
        <v>10.36</v>
      </c>
      <c r="AK24" t="n">
        <v>0.73</v>
      </c>
      <c r="AL24" t="n">
        <v>0.73</v>
      </c>
      <c r="AM24" t="n">
        <v>0.17</v>
      </c>
      <c r="AN24" t="n">
        <v>0.01</v>
      </c>
      <c r="AO24" t="n">
        <v>0.17</v>
      </c>
      <c r="AP24" t="n">
        <v>128.4</v>
      </c>
      <c r="AQ24" s="12" t="n">
        <v>141369300000</v>
      </c>
      <c r="AR24" s="12" t="n">
        <v>182798024000</v>
      </c>
      <c r="AS24" s="24">
        <f>HYPERLINK("https://github.com/lottpicker/daily1689/blob/main/summary-v28.txt", "Click view")</f>
        <v/>
      </c>
    </row>
    <row r="25">
      <c r="A25" t="n">
        <v>29</v>
      </c>
      <c r="B25" t="inlineStr">
        <is>
          <t>100-369</t>
        </is>
      </c>
      <c r="C25" t="inlineStr">
        <is>
          <t>270</t>
        </is>
      </c>
      <c r="D25" s="42" t="n">
        <v>126.94</v>
      </c>
      <c r="E25" s="12" t="n">
        <v>38080818300</v>
      </c>
      <c r="F25" t="n">
        <v>40684</v>
      </c>
      <c r="G25" t="n">
        <v>3338</v>
      </c>
      <c r="H25" t="inlineStr">
        <is>
          <t>88/270</t>
        </is>
      </c>
      <c r="I25" s="47" t="n">
        <v>32.59</v>
      </c>
      <c r="J25" t="inlineStr">
        <is>
          <t>175/270</t>
        </is>
      </c>
      <c r="K25" s="47" t="n">
        <v>64.81</v>
      </c>
      <c r="L25" t="inlineStr">
        <is>
          <t>89/270</t>
        </is>
      </c>
      <c r="M25" s="42" t="n">
        <v>32.96</v>
      </c>
      <c r="N25" t="inlineStr">
        <is>
          <t>54/270</t>
        </is>
      </c>
      <c r="O25" t="n">
        <v>20</v>
      </c>
      <c r="P25" t="inlineStr">
        <is>
          <t>44/270</t>
        </is>
      </c>
      <c r="Q25" s="50" t="n">
        <v>16.3</v>
      </c>
      <c r="R25" t="inlineStr">
        <is>
          <t>41/270</t>
        </is>
      </c>
      <c r="S25" t="n">
        <v>15.19</v>
      </c>
      <c r="T25" t="inlineStr">
        <is>
          <t>24/27</t>
        </is>
      </c>
      <c r="U25" t="n">
        <v>88.89</v>
      </c>
      <c r="V25" t="inlineStr">
        <is>
          <t>21/27</t>
        </is>
      </c>
      <c r="W25" t="n">
        <v>77.78</v>
      </c>
      <c r="X25" t="n">
        <v>34728</v>
      </c>
      <c r="Y25" t="n">
        <v>3109</v>
      </c>
      <c r="Z25" t="n">
        <v>37837</v>
      </c>
      <c r="AA25" t="n">
        <v>2417</v>
      </c>
      <c r="AB25" t="n">
        <v>225</v>
      </c>
      <c r="AC25" t="n">
        <v>2806</v>
      </c>
      <c r="AD25" t="n">
        <v>37</v>
      </c>
      <c r="AE25" t="n">
        <v>4</v>
      </c>
      <c r="AF25" t="n">
        <v>41</v>
      </c>
      <c r="AG25" t="n">
        <v>128.62</v>
      </c>
      <c r="AH25" t="n">
        <v>11.51</v>
      </c>
      <c r="AI25" t="n">
        <v>11.51</v>
      </c>
      <c r="AJ25" t="n">
        <v>10.39</v>
      </c>
      <c r="AK25" t="n">
        <v>0.83</v>
      </c>
      <c r="AL25" t="n">
        <v>0.83</v>
      </c>
      <c r="AM25" t="n">
        <v>0.14</v>
      </c>
      <c r="AN25" t="n">
        <v>0.01</v>
      </c>
      <c r="AO25" t="n">
        <v>0.15</v>
      </c>
      <c r="AP25" t="n">
        <v>128.39</v>
      </c>
      <c r="AQ25" s="12" t="n">
        <v>141369300000</v>
      </c>
      <c r="AR25" s="12" t="n">
        <v>179450118300</v>
      </c>
      <c r="AS25" s="24">
        <f>HYPERLINK("https://github.com/lottpicker/daily1689/blob/main/summary-v29.txt", "Click view")</f>
        <v/>
      </c>
    </row>
    <row r="26">
      <c r="A26" t="n">
        <v>30</v>
      </c>
      <c r="B26" t="inlineStr">
        <is>
          <t>100-369</t>
        </is>
      </c>
      <c r="C26" t="inlineStr">
        <is>
          <t>270</t>
        </is>
      </c>
      <c r="D26" s="42" t="n">
        <v>131.46</v>
      </c>
      <c r="E26" s="12" t="n">
        <v>44470991100</v>
      </c>
      <c r="F26" t="n">
        <v>40730</v>
      </c>
      <c r="G26" t="n">
        <v>3412</v>
      </c>
      <c r="H26" t="inlineStr">
        <is>
          <t>83/270</t>
        </is>
      </c>
      <c r="I26" s="48" t="n">
        <v>30.74</v>
      </c>
      <c r="J26" t="inlineStr">
        <is>
          <t>183/270</t>
        </is>
      </c>
      <c r="K26" s="47" t="n">
        <v>67.78</v>
      </c>
      <c r="L26" t="inlineStr">
        <is>
          <t>94/270</t>
        </is>
      </c>
      <c r="M26" s="51" t="n">
        <v>34.81</v>
      </c>
      <c r="N26" t="inlineStr">
        <is>
          <t>54/270</t>
        </is>
      </c>
      <c r="O26" t="n">
        <v>20</v>
      </c>
      <c r="P26" t="inlineStr">
        <is>
          <t>48/270</t>
        </is>
      </c>
      <c r="Q26" s="50" t="n">
        <v>17.78</v>
      </c>
      <c r="R26" t="inlineStr">
        <is>
          <t>45/270</t>
        </is>
      </c>
      <c r="S26" t="n">
        <v>16.67</v>
      </c>
      <c r="T26" t="inlineStr">
        <is>
          <t>24/27</t>
        </is>
      </c>
      <c r="U26" t="n">
        <v>88.89</v>
      </c>
      <c r="V26" t="inlineStr">
        <is>
          <t>20/27</t>
        </is>
      </c>
      <c r="W26" t="n">
        <v>74.06999999999999</v>
      </c>
      <c r="X26" t="n">
        <v>34737</v>
      </c>
      <c r="Y26" t="n">
        <v>3168</v>
      </c>
      <c r="Z26" t="n">
        <v>37905</v>
      </c>
      <c r="AA26" t="n">
        <v>2364</v>
      </c>
      <c r="AB26" t="n">
        <v>241</v>
      </c>
      <c r="AC26" t="n">
        <v>2781</v>
      </c>
      <c r="AD26" t="n">
        <v>41</v>
      </c>
      <c r="AE26" t="n">
        <v>3</v>
      </c>
      <c r="AF26" t="n">
        <v>44</v>
      </c>
      <c r="AG26" t="n">
        <v>128.66</v>
      </c>
      <c r="AH26" t="n">
        <v>11.73</v>
      </c>
      <c r="AI26" t="n">
        <v>11.73</v>
      </c>
      <c r="AJ26" t="n">
        <v>10.3</v>
      </c>
      <c r="AK26" t="n">
        <v>0.89</v>
      </c>
      <c r="AL26" t="n">
        <v>0.89</v>
      </c>
      <c r="AM26" t="n">
        <v>0.15</v>
      </c>
      <c r="AN26" t="n">
        <v>0.01</v>
      </c>
      <c r="AO26" t="n">
        <v>0.16</v>
      </c>
      <c r="AP26" t="n">
        <v>128.11</v>
      </c>
      <c r="AQ26" s="12" t="n">
        <v>141369300000</v>
      </c>
      <c r="AR26" s="12" t="n">
        <v>185840291100</v>
      </c>
      <c r="AS26" s="24">
        <f>HYPERLINK("https://github.com/lottpicker/daily1689/blob/main/summary-v30.txt", "Click view")</f>
        <v/>
      </c>
    </row>
    <row r="27">
      <c r="A27" t="n">
        <v>31</v>
      </c>
      <c r="B27" t="inlineStr">
        <is>
          <t>100-369</t>
        </is>
      </c>
      <c r="C27" t="inlineStr">
        <is>
          <t>270</t>
        </is>
      </c>
      <c r="D27" s="28" t="n">
        <v>136.95</v>
      </c>
      <c r="E27" s="21" t="n">
        <v>52242148000</v>
      </c>
      <c r="F27" t="n">
        <v>40771</v>
      </c>
      <c r="G27" t="n">
        <v>3348</v>
      </c>
      <c r="H27" t="inlineStr">
        <is>
          <t>84/270</t>
        </is>
      </c>
      <c r="I27" s="47" t="n">
        <v>31.11</v>
      </c>
      <c r="J27" t="inlineStr">
        <is>
          <t>178/270</t>
        </is>
      </c>
      <c r="K27" s="47" t="n">
        <v>65.93000000000001</v>
      </c>
      <c r="L27" t="inlineStr">
        <is>
          <t>93/270</t>
        </is>
      </c>
      <c r="M27" s="51" t="n">
        <v>34.44</v>
      </c>
      <c r="N27" t="inlineStr">
        <is>
          <t>62/270</t>
        </is>
      </c>
      <c r="O27" s="42" t="n">
        <v>22.96</v>
      </c>
      <c r="P27" t="inlineStr">
        <is>
          <t>57/270</t>
        </is>
      </c>
      <c r="Q27" s="49" t="n">
        <v>21.11</v>
      </c>
      <c r="R27" t="inlineStr">
        <is>
          <t>55/270</t>
        </is>
      </c>
      <c r="S27" t="n">
        <v>20.37</v>
      </c>
      <c r="T27" t="inlineStr">
        <is>
          <t>25/27</t>
        </is>
      </c>
      <c r="U27" s="15" t="n">
        <v>92.59</v>
      </c>
      <c r="V27" t="inlineStr">
        <is>
          <t>23/27</t>
        </is>
      </c>
      <c r="W27" t="n">
        <v>85.19</v>
      </c>
      <c r="X27" t="n">
        <v>34780</v>
      </c>
      <c r="Y27" t="n">
        <v>3144</v>
      </c>
      <c r="Z27" t="n">
        <v>37924</v>
      </c>
      <c r="AA27" t="n">
        <v>2370</v>
      </c>
      <c r="AB27" t="n">
        <v>202</v>
      </c>
      <c r="AC27" t="n">
        <v>2792</v>
      </c>
      <c r="AD27" t="n">
        <v>53</v>
      </c>
      <c r="AE27" t="n">
        <v>2</v>
      </c>
      <c r="AF27" s="13" t="n">
        <v>55</v>
      </c>
      <c r="AG27" t="n">
        <v>128.81</v>
      </c>
      <c r="AH27" t="n">
        <v>11.64</v>
      </c>
      <c r="AI27" t="n">
        <v>11.64</v>
      </c>
      <c r="AJ27" t="n">
        <v>10.34</v>
      </c>
      <c r="AK27" t="n">
        <v>0.75</v>
      </c>
      <c r="AL27" t="n">
        <v>0.75</v>
      </c>
      <c r="AM27" t="n">
        <v>0.2</v>
      </c>
      <c r="AN27" t="n">
        <v>0.01</v>
      </c>
      <c r="AO27" s="13" t="n">
        <v>0.2</v>
      </c>
      <c r="AP27" t="n">
        <v>128.35</v>
      </c>
      <c r="AQ27" s="12" t="n">
        <v>141369300000</v>
      </c>
      <c r="AR27" s="12" t="n">
        <v>193611448000</v>
      </c>
      <c r="AS27" s="24">
        <f>HYPERLINK("https://github.com/lottpicker/daily1689/blob/main/summary-v31.txt", "Click view")</f>
        <v/>
      </c>
    </row>
    <row r="28">
      <c r="A28" t="n">
        <v>32</v>
      </c>
      <c r="B28" t="inlineStr">
        <is>
          <t>100-369</t>
        </is>
      </c>
      <c r="C28" t="inlineStr">
        <is>
          <t>270</t>
        </is>
      </c>
      <c r="D28" s="42" t="n">
        <v>131.93</v>
      </c>
      <c r="E28" s="12" t="n">
        <v>45171549600</v>
      </c>
      <c r="F28" t="n">
        <v>40773</v>
      </c>
      <c r="G28" t="n">
        <v>3434</v>
      </c>
      <c r="H28" t="inlineStr">
        <is>
          <t>82/270</t>
        </is>
      </c>
      <c r="I28" s="48" t="n">
        <v>30.37</v>
      </c>
      <c r="J28" t="inlineStr">
        <is>
          <t>185/270</t>
        </is>
      </c>
      <c r="K28" s="48" t="n">
        <v>68.52</v>
      </c>
      <c r="L28" t="inlineStr">
        <is>
          <t>91/270</t>
        </is>
      </c>
      <c r="M28" s="42" t="n">
        <v>33.7</v>
      </c>
      <c r="N28" t="inlineStr">
        <is>
          <t>55/270</t>
        </is>
      </c>
      <c r="O28" t="n">
        <v>20.37</v>
      </c>
      <c r="P28" t="inlineStr">
        <is>
          <t>48/270</t>
        </is>
      </c>
      <c r="Q28" s="50" t="n">
        <v>17.78</v>
      </c>
      <c r="R28" t="inlineStr">
        <is>
          <t>45/270</t>
        </is>
      </c>
      <c r="S28" t="n">
        <v>16.67</v>
      </c>
      <c r="T28" t="inlineStr">
        <is>
          <t>24/27</t>
        </is>
      </c>
      <c r="U28" t="n">
        <v>88.89</v>
      </c>
      <c r="V28" t="inlineStr">
        <is>
          <t>21/27</t>
        </is>
      </c>
      <c r="W28" t="n">
        <v>77.78</v>
      </c>
      <c r="X28" t="n">
        <v>34736</v>
      </c>
      <c r="Y28" t="n">
        <v>3205</v>
      </c>
      <c r="Z28" t="n">
        <v>37941</v>
      </c>
      <c r="AA28" t="n">
        <v>2374</v>
      </c>
      <c r="AB28" t="n">
        <v>228</v>
      </c>
      <c r="AC28" t="n">
        <v>2786</v>
      </c>
      <c r="AD28" t="n">
        <v>45</v>
      </c>
      <c r="AE28" t="n">
        <v>1</v>
      </c>
      <c r="AF28" t="n">
        <v>46</v>
      </c>
      <c r="AG28" t="n">
        <v>128.65</v>
      </c>
      <c r="AH28" t="n">
        <v>11.87</v>
      </c>
      <c r="AI28" t="n">
        <v>11.87</v>
      </c>
      <c r="AJ28" t="n">
        <v>10.32</v>
      </c>
      <c r="AK28" t="n">
        <v>0.84</v>
      </c>
      <c r="AL28" t="n">
        <v>0.84</v>
      </c>
      <c r="AM28" t="n">
        <v>0.17</v>
      </c>
      <c r="AN28" t="n">
        <v>0</v>
      </c>
      <c r="AO28" t="n">
        <v>0.17</v>
      </c>
      <c r="AP28" t="n">
        <v>128.11</v>
      </c>
      <c r="AQ28" s="12" t="n">
        <v>141453000000</v>
      </c>
      <c r="AR28" s="12" t="n">
        <v>186624549600</v>
      </c>
      <c r="AS28" s="24">
        <f>HYPERLINK("https://github.com/lottpicker/daily1689/blob/main/summary-v32.txt", "Click view")</f>
        <v/>
      </c>
    </row>
    <row r="29">
      <c r="A29" t="n">
        <v>33</v>
      </c>
      <c r="B29" t="inlineStr">
        <is>
          <t>100-369</t>
        </is>
      </c>
      <c r="C29" t="inlineStr">
        <is>
          <t>270</t>
        </is>
      </c>
      <c r="D29" s="42" t="n">
        <v>133.02</v>
      </c>
      <c r="E29" s="12" t="n">
        <v>46703825900</v>
      </c>
      <c r="F29" t="n">
        <v>40788</v>
      </c>
      <c r="G29" t="n">
        <v>3325</v>
      </c>
      <c r="H29" t="inlineStr">
        <is>
          <t>90/270</t>
        </is>
      </c>
      <c r="I29" s="47" t="n">
        <v>33.33</v>
      </c>
      <c r="J29" t="inlineStr">
        <is>
          <t>174/270</t>
        </is>
      </c>
      <c r="K29" s="47" t="n">
        <v>64.44</v>
      </c>
      <c r="L29" t="inlineStr">
        <is>
          <t>90/270</t>
        </is>
      </c>
      <c r="M29" s="42" t="n">
        <v>33.33</v>
      </c>
      <c r="N29" t="inlineStr">
        <is>
          <t>59/270</t>
        </is>
      </c>
      <c r="O29" t="n">
        <v>21.85</v>
      </c>
      <c r="P29" t="inlineStr">
        <is>
          <t>53/270</t>
        </is>
      </c>
      <c r="Q29" s="50" t="n">
        <v>19.63</v>
      </c>
      <c r="R29" t="inlineStr">
        <is>
          <t>49/270</t>
        </is>
      </c>
      <c r="S29" t="n">
        <v>18.15</v>
      </c>
      <c r="T29" t="inlineStr">
        <is>
          <t>26/27</t>
        </is>
      </c>
      <c r="U29" s="14" t="n">
        <v>96.3</v>
      </c>
      <c r="V29" t="inlineStr">
        <is>
          <t>25/27</t>
        </is>
      </c>
      <c r="W29" s="26" t="n">
        <v>92.59</v>
      </c>
      <c r="X29" t="n">
        <v>34843</v>
      </c>
      <c r="Y29" t="n">
        <v>3107</v>
      </c>
      <c r="Z29" t="n">
        <v>37950</v>
      </c>
      <c r="AA29" t="n">
        <v>2376</v>
      </c>
      <c r="AB29" t="n">
        <v>217</v>
      </c>
      <c r="AC29" t="n">
        <v>2789</v>
      </c>
      <c r="AD29" t="n">
        <v>48</v>
      </c>
      <c r="AE29" t="n">
        <v>1</v>
      </c>
      <c r="AF29" t="n">
        <v>49</v>
      </c>
      <c r="AG29" t="n">
        <v>129.05</v>
      </c>
      <c r="AH29" t="n">
        <v>11.51</v>
      </c>
      <c r="AI29" t="n">
        <v>11.51</v>
      </c>
      <c r="AJ29" t="n">
        <v>10.33</v>
      </c>
      <c r="AK29" t="n">
        <v>0.8</v>
      </c>
      <c r="AL29" t="n">
        <v>0.8</v>
      </c>
      <c r="AM29" t="n">
        <v>0.18</v>
      </c>
      <c r="AN29" t="n">
        <v>0</v>
      </c>
      <c r="AO29" t="n">
        <v>0.18</v>
      </c>
      <c r="AP29" t="n">
        <v>128.51</v>
      </c>
      <c r="AQ29" s="12" t="n">
        <v>141453000000</v>
      </c>
      <c r="AR29" s="12" t="n">
        <v>188156825900</v>
      </c>
      <c r="AS29" s="24">
        <f>HYPERLINK("https://github.com/lottpicker/daily1689/blob/main/summary-v33.txt", "Click view")</f>
        <v/>
      </c>
    </row>
    <row r="30">
      <c r="A30" t="n">
        <v>34</v>
      </c>
      <c r="B30" t="inlineStr">
        <is>
          <t>100-369</t>
        </is>
      </c>
      <c r="C30" t="inlineStr">
        <is>
          <t>270</t>
        </is>
      </c>
      <c r="D30" s="42" t="n">
        <v>129.69</v>
      </c>
      <c r="E30" s="12" t="n">
        <v>42004271100</v>
      </c>
      <c r="F30" t="n">
        <v>40752</v>
      </c>
      <c r="G30" t="n">
        <v>3420</v>
      </c>
      <c r="H30" t="inlineStr">
        <is>
          <t>87/270</t>
        </is>
      </c>
      <c r="I30" s="47" t="n">
        <v>32.22</v>
      </c>
      <c r="J30" t="inlineStr">
        <is>
          <t>180/270</t>
        </is>
      </c>
      <c r="K30" s="47" t="n">
        <v>66.67</v>
      </c>
      <c r="L30" t="inlineStr">
        <is>
          <t>92/270</t>
        </is>
      </c>
      <c r="M30" s="51" t="n">
        <v>34.07</v>
      </c>
      <c r="N30" t="inlineStr">
        <is>
          <t>54/270</t>
        </is>
      </c>
      <c r="O30" t="n">
        <v>20</v>
      </c>
      <c r="P30" t="inlineStr">
        <is>
          <t>46/270</t>
        </is>
      </c>
      <c r="Q30" s="50" t="n">
        <v>17.04</v>
      </c>
      <c r="R30" t="inlineStr">
        <is>
          <t>43/270</t>
        </is>
      </c>
      <c r="S30" t="n">
        <v>15.93</v>
      </c>
      <c r="T30" t="inlineStr">
        <is>
          <t>26/27</t>
        </is>
      </c>
      <c r="U30" s="14" t="n">
        <v>96.3</v>
      </c>
      <c r="V30" t="inlineStr">
        <is>
          <t>24/27</t>
        </is>
      </c>
      <c r="W30" t="n">
        <v>88.89</v>
      </c>
      <c r="X30" t="n">
        <v>34740</v>
      </c>
      <c r="Y30" t="n">
        <v>3185</v>
      </c>
      <c r="Z30" t="n">
        <v>37925</v>
      </c>
      <c r="AA30" t="n">
        <v>2379</v>
      </c>
      <c r="AB30" t="n">
        <v>233</v>
      </c>
      <c r="AC30" t="n">
        <v>2784</v>
      </c>
      <c r="AD30" t="n">
        <v>41</v>
      </c>
      <c r="AE30" t="n">
        <v>2</v>
      </c>
      <c r="AF30" t="n">
        <v>43</v>
      </c>
      <c r="AG30" t="n">
        <v>128.67</v>
      </c>
      <c r="AH30" t="n">
        <v>11.8</v>
      </c>
      <c r="AI30" t="n">
        <v>11.8</v>
      </c>
      <c r="AJ30" t="n">
        <v>10.31</v>
      </c>
      <c r="AK30" t="n">
        <v>0.86</v>
      </c>
      <c r="AL30" t="n">
        <v>0.86</v>
      </c>
      <c r="AM30" t="n">
        <v>0.15</v>
      </c>
      <c r="AN30" t="n">
        <v>0.01</v>
      </c>
      <c r="AO30" t="n">
        <v>0.16</v>
      </c>
      <c r="AP30" t="n">
        <v>128.16</v>
      </c>
      <c r="AQ30" s="12" t="n">
        <v>141453000000</v>
      </c>
      <c r="AR30" s="12" t="n">
        <v>183457271100</v>
      </c>
      <c r="AS30" s="24">
        <f>HYPERLINK("https://github.com/lottpicker/daily1689/blob/main/summary-v34.txt", "Click view")</f>
        <v/>
      </c>
    </row>
    <row r="31">
      <c r="A31" t="n">
        <v>35</v>
      </c>
      <c r="B31" t="inlineStr">
        <is>
          <t>100-369</t>
        </is>
      </c>
      <c r="C31" t="inlineStr">
        <is>
          <t>270</t>
        </is>
      </c>
      <c r="D31" s="42" t="n">
        <v>127.01</v>
      </c>
      <c r="E31" s="12" t="n">
        <v>38200519700</v>
      </c>
      <c r="F31" t="n">
        <v>40759</v>
      </c>
      <c r="G31" t="n">
        <v>3357</v>
      </c>
      <c r="H31" t="inlineStr">
        <is>
          <t>94/270</t>
        </is>
      </c>
      <c r="I31" s="47" t="n">
        <v>34.81</v>
      </c>
      <c r="J31" t="inlineStr">
        <is>
          <t>174/270</t>
        </is>
      </c>
      <c r="K31" s="47" t="n">
        <v>64.44</v>
      </c>
      <c r="L31" t="inlineStr">
        <is>
          <t>82/270</t>
        </is>
      </c>
      <c r="M31" s="42" t="n">
        <v>30.37</v>
      </c>
      <c r="N31" t="inlineStr">
        <is>
          <t>53/270</t>
        </is>
      </c>
      <c r="O31" t="n">
        <v>19.63</v>
      </c>
      <c r="P31" t="inlineStr">
        <is>
          <t>46/270</t>
        </is>
      </c>
      <c r="Q31" s="50" t="n">
        <v>17.04</v>
      </c>
      <c r="R31" t="inlineStr">
        <is>
          <t>43/270</t>
        </is>
      </c>
      <c r="S31" t="n">
        <v>15.93</v>
      </c>
      <c r="T31" t="inlineStr">
        <is>
          <t>26/27</t>
        </is>
      </c>
      <c r="U31" s="14" t="n">
        <v>96.3</v>
      </c>
      <c r="V31" t="inlineStr">
        <is>
          <t>25/27</t>
        </is>
      </c>
      <c r="W31" s="26" t="n">
        <v>92.59</v>
      </c>
      <c r="X31" t="n">
        <v>34793</v>
      </c>
      <c r="Y31" t="n">
        <v>3142</v>
      </c>
      <c r="Z31" t="n">
        <v>37935</v>
      </c>
      <c r="AA31" t="n">
        <v>2398</v>
      </c>
      <c r="AB31" t="n">
        <v>211</v>
      </c>
      <c r="AC31" t="n">
        <v>2781</v>
      </c>
      <c r="AD31" t="n">
        <v>39</v>
      </c>
      <c r="AE31" t="n">
        <v>4</v>
      </c>
      <c r="AF31" t="n">
        <v>43</v>
      </c>
      <c r="AG31" t="n">
        <v>128.86</v>
      </c>
      <c r="AH31" t="n">
        <v>11.64</v>
      </c>
      <c r="AI31" t="n">
        <v>11.64</v>
      </c>
      <c r="AJ31" t="n">
        <v>10.3</v>
      </c>
      <c r="AK31" t="n">
        <v>0.78</v>
      </c>
      <c r="AL31" t="n">
        <v>0.78</v>
      </c>
      <c r="AM31" t="n">
        <v>0.14</v>
      </c>
      <c r="AN31" t="n">
        <v>0.01</v>
      </c>
      <c r="AO31" t="n">
        <v>0.16</v>
      </c>
      <c r="AP31" t="n">
        <v>128.39</v>
      </c>
      <c r="AQ31" s="12" t="n">
        <v>141453000000</v>
      </c>
      <c r="AR31" s="12" t="n">
        <v>179653519700</v>
      </c>
      <c r="AS31" s="24">
        <f>HYPERLINK("https://github.com/lottpicker/daily1689/blob/main/summary-v35.txt", "Click view")</f>
        <v/>
      </c>
    </row>
    <row r="32">
      <c r="A32" t="n">
        <v>36</v>
      </c>
      <c r="B32" t="inlineStr">
        <is>
          <t>100-369</t>
        </is>
      </c>
      <c r="C32" t="inlineStr">
        <is>
          <t>270</t>
        </is>
      </c>
      <c r="D32" s="42" t="n">
        <v>133.04</v>
      </c>
      <c r="E32" s="12" t="n">
        <v>46739833700</v>
      </c>
      <c r="F32" t="n">
        <v>40773</v>
      </c>
      <c r="G32" t="n">
        <v>3382</v>
      </c>
      <c r="H32" t="inlineStr">
        <is>
          <t>91/270</t>
        </is>
      </c>
      <c r="I32" s="47" t="n">
        <v>33.7</v>
      </c>
      <c r="J32" t="inlineStr">
        <is>
          <t>174/270</t>
        </is>
      </c>
      <c r="K32" s="47" t="n">
        <v>64.44</v>
      </c>
      <c r="L32" t="inlineStr">
        <is>
          <t>95/270</t>
        </is>
      </c>
      <c r="M32" s="51" t="n">
        <v>35.19</v>
      </c>
      <c r="N32" t="inlineStr">
        <is>
          <t>60/270</t>
        </is>
      </c>
      <c r="O32" t="n">
        <v>22.22</v>
      </c>
      <c r="P32" t="inlineStr">
        <is>
          <t>52/270</t>
        </is>
      </c>
      <c r="Q32" s="50" t="n">
        <v>19.26</v>
      </c>
      <c r="R32" t="inlineStr">
        <is>
          <t>49/270</t>
        </is>
      </c>
      <c r="S32" t="n">
        <v>18.15</v>
      </c>
      <c r="T32" t="inlineStr">
        <is>
          <t>26/27</t>
        </is>
      </c>
      <c r="U32" s="14" t="n">
        <v>96.3</v>
      </c>
      <c r="V32" t="inlineStr">
        <is>
          <t>25/27</t>
        </is>
      </c>
      <c r="W32" s="26" t="n">
        <v>92.59</v>
      </c>
      <c r="X32" t="n">
        <v>34769</v>
      </c>
      <c r="Y32" t="n">
        <v>3161</v>
      </c>
      <c r="Z32" t="n">
        <v>37930</v>
      </c>
      <c r="AA32" t="n">
        <v>2383</v>
      </c>
      <c r="AB32" t="n">
        <v>215</v>
      </c>
      <c r="AC32" t="n">
        <v>2794</v>
      </c>
      <c r="AD32" t="n">
        <v>43</v>
      </c>
      <c r="AE32" t="n">
        <v>6</v>
      </c>
      <c r="AF32" t="n">
        <v>49</v>
      </c>
      <c r="AG32" t="n">
        <v>128.77</v>
      </c>
      <c r="AH32" t="n">
        <v>11.71</v>
      </c>
      <c r="AI32" t="n">
        <v>11.71</v>
      </c>
      <c r="AJ32" t="n">
        <v>10.35</v>
      </c>
      <c r="AK32" t="n">
        <v>0.8</v>
      </c>
      <c r="AL32" t="n">
        <v>0.8</v>
      </c>
      <c r="AM32" t="n">
        <v>0.16</v>
      </c>
      <c r="AN32" t="n">
        <v>0.02</v>
      </c>
      <c r="AO32" t="n">
        <v>0.18</v>
      </c>
      <c r="AP32" t="n">
        <v>128.3</v>
      </c>
      <c r="AQ32" s="12" t="n">
        <v>141453000000</v>
      </c>
      <c r="AR32" s="12" t="n">
        <v>188192833700</v>
      </c>
      <c r="AS32" s="24">
        <f>HYPERLINK("https://github.com/lottpicker/daily1689/blob/main/summary-v36.txt", "Click view")</f>
        <v/>
      </c>
    </row>
    <row r="33">
      <c r="A33" t="n">
        <v>37</v>
      </c>
      <c r="B33" t="inlineStr">
        <is>
          <t>100-369</t>
        </is>
      </c>
      <c r="C33" t="inlineStr">
        <is>
          <t>270</t>
        </is>
      </c>
      <c r="D33" s="42" t="n">
        <v>124.87</v>
      </c>
      <c r="E33" s="12" t="n">
        <v>35183862900</v>
      </c>
      <c r="F33" t="n">
        <v>40718</v>
      </c>
      <c r="G33" t="n">
        <v>3381</v>
      </c>
      <c r="H33" t="inlineStr">
        <is>
          <t>100/270</t>
        </is>
      </c>
      <c r="I33" s="47" t="n">
        <v>37.04</v>
      </c>
      <c r="J33" t="inlineStr">
        <is>
          <t>169/270</t>
        </is>
      </c>
      <c r="K33" s="47" t="n">
        <v>62.59</v>
      </c>
      <c r="L33" t="inlineStr">
        <is>
          <t>89/270</t>
        </is>
      </c>
      <c r="M33" s="42" t="n">
        <v>32.96</v>
      </c>
      <c r="N33" t="inlineStr">
        <is>
          <t>48/270</t>
        </is>
      </c>
      <c r="O33" t="n">
        <v>17.78</v>
      </c>
      <c r="P33" t="inlineStr">
        <is>
          <t>42/270</t>
        </is>
      </c>
      <c r="Q33" s="50" t="n">
        <v>15.56</v>
      </c>
      <c r="R33" t="inlineStr">
        <is>
          <t>41/270</t>
        </is>
      </c>
      <c r="S33" t="n">
        <v>15.19</v>
      </c>
      <c r="T33" t="inlineStr">
        <is>
          <t>24/27</t>
        </is>
      </c>
      <c r="U33" t="n">
        <v>88.89</v>
      </c>
      <c r="V33" t="inlineStr">
        <is>
          <t>21/27</t>
        </is>
      </c>
      <c r="W33" t="n">
        <v>77.78</v>
      </c>
      <c r="X33" t="n">
        <v>34731</v>
      </c>
      <c r="Y33" t="n">
        <v>3161</v>
      </c>
      <c r="Z33" t="n">
        <v>37892</v>
      </c>
      <c r="AA33" t="n">
        <v>2411</v>
      </c>
      <c r="AB33" t="n">
        <v>215</v>
      </c>
      <c r="AC33" t="n">
        <v>2786</v>
      </c>
      <c r="AD33" t="n">
        <v>35</v>
      </c>
      <c r="AE33" t="n">
        <v>5</v>
      </c>
      <c r="AF33" t="n">
        <v>40</v>
      </c>
      <c r="AG33" t="n">
        <v>128.63</v>
      </c>
      <c r="AH33" t="n">
        <v>11.71</v>
      </c>
      <c r="AI33" t="n">
        <v>11.71</v>
      </c>
      <c r="AJ33" t="n">
        <v>10.32</v>
      </c>
      <c r="AK33" t="n">
        <v>0.8</v>
      </c>
      <c r="AL33" t="n">
        <v>0.8</v>
      </c>
      <c r="AM33" t="n">
        <v>0.13</v>
      </c>
      <c r="AN33" t="n">
        <v>0.02</v>
      </c>
      <c r="AO33" t="n">
        <v>0.15</v>
      </c>
      <c r="AP33" t="n">
        <v>128.3</v>
      </c>
      <c r="AQ33" s="12" t="n">
        <v>141453000000</v>
      </c>
      <c r="AR33" s="12" t="n">
        <v>176636862900</v>
      </c>
      <c r="AS33" s="24">
        <f>HYPERLINK("https://github.com/lottpicker/daily1689/blob/main/summary-v37.txt", "Click view")</f>
        <v/>
      </c>
    </row>
    <row r="34">
      <c r="A34" t="n">
        <v>38</v>
      </c>
      <c r="B34" t="inlineStr">
        <is>
          <t>100-369</t>
        </is>
      </c>
      <c r="C34" t="inlineStr">
        <is>
          <t>270</t>
        </is>
      </c>
      <c r="D34" s="42" t="n">
        <v>130.88</v>
      </c>
      <c r="E34" s="12" t="n">
        <v>43674962700</v>
      </c>
      <c r="F34" t="n">
        <v>40755</v>
      </c>
      <c r="G34" t="n">
        <v>3426</v>
      </c>
      <c r="H34" t="inlineStr">
        <is>
          <t>89/270</t>
        </is>
      </c>
      <c r="I34" s="47" t="n">
        <v>32.96</v>
      </c>
      <c r="J34" t="inlineStr">
        <is>
          <t>178/270</t>
        </is>
      </c>
      <c r="K34" s="47" t="n">
        <v>65.93000000000001</v>
      </c>
      <c r="L34" t="inlineStr">
        <is>
          <t>91/270</t>
        </is>
      </c>
      <c r="M34" s="42" t="n">
        <v>33.7</v>
      </c>
      <c r="N34" t="inlineStr">
        <is>
          <t>52/270</t>
        </is>
      </c>
      <c r="O34" t="n">
        <v>19.26</v>
      </c>
      <c r="P34" t="inlineStr">
        <is>
          <t>44/270</t>
        </is>
      </c>
      <c r="Q34" s="50" t="n">
        <v>16.3</v>
      </c>
      <c r="R34" t="inlineStr">
        <is>
          <t>44/270</t>
        </is>
      </c>
      <c r="S34" t="n">
        <v>16.3</v>
      </c>
      <c r="T34" t="inlineStr">
        <is>
          <t>25/27</t>
        </is>
      </c>
      <c r="U34" s="15" t="n">
        <v>92.59</v>
      </c>
      <c r="V34" t="inlineStr">
        <is>
          <t>24/27</t>
        </is>
      </c>
      <c r="W34" t="n">
        <v>88.89</v>
      </c>
      <c r="X34" t="n">
        <v>34723</v>
      </c>
      <c r="Y34" t="n">
        <v>3200</v>
      </c>
      <c r="Z34" t="n">
        <v>37923</v>
      </c>
      <c r="AA34" t="n">
        <v>2383</v>
      </c>
      <c r="AB34" t="n">
        <v>219</v>
      </c>
      <c r="AC34" t="n">
        <v>2786</v>
      </c>
      <c r="AD34" t="n">
        <v>39</v>
      </c>
      <c r="AE34" s="13" t="n">
        <v>7</v>
      </c>
      <c r="AF34" t="n">
        <v>46</v>
      </c>
      <c r="AG34" t="n">
        <v>128.6</v>
      </c>
      <c r="AH34" t="n">
        <v>11.85</v>
      </c>
      <c r="AI34" t="n">
        <v>11.85</v>
      </c>
      <c r="AJ34" t="n">
        <v>10.32</v>
      </c>
      <c r="AK34" t="n">
        <v>0.8100000000000001</v>
      </c>
      <c r="AL34" t="n">
        <v>0.8100000000000001</v>
      </c>
      <c r="AM34" t="n">
        <v>0.14</v>
      </c>
      <c r="AN34" t="n">
        <v>0.03</v>
      </c>
      <c r="AO34" t="n">
        <v>0.17</v>
      </c>
      <c r="AP34" t="n">
        <v>128.14</v>
      </c>
      <c r="AQ34" s="12" t="n">
        <v>141453000000</v>
      </c>
      <c r="AR34" s="12" t="n">
        <v>185127962700</v>
      </c>
      <c r="AS34" s="24">
        <f>HYPERLINK("https://github.com/lottpicker/daily1689/blob/main/summary-v38.txt", "Click view")</f>
        <v/>
      </c>
    </row>
    <row r="35">
      <c r="A35" t="n">
        <v>39</v>
      </c>
      <c r="B35" t="inlineStr">
        <is>
          <t>100-369</t>
        </is>
      </c>
      <c r="C35" t="inlineStr">
        <is>
          <t>270</t>
        </is>
      </c>
      <c r="D35" s="42" t="n">
        <v>126.55</v>
      </c>
      <c r="E35" s="12" t="n">
        <v>37553095700</v>
      </c>
      <c r="F35" t="n">
        <v>40737</v>
      </c>
      <c r="G35" t="n">
        <v>3458</v>
      </c>
      <c r="H35" t="inlineStr">
        <is>
          <t>89/270</t>
        </is>
      </c>
      <c r="I35" s="47" t="n">
        <v>32.96</v>
      </c>
      <c r="J35" t="inlineStr">
        <is>
          <t>177/270</t>
        </is>
      </c>
      <c r="K35" s="47" t="n">
        <v>65.56</v>
      </c>
      <c r="L35" t="inlineStr">
        <is>
          <t>81/270</t>
        </is>
      </c>
      <c r="M35" s="42" t="n">
        <v>30</v>
      </c>
      <c r="N35" t="inlineStr">
        <is>
          <t>48/270</t>
        </is>
      </c>
      <c r="O35" t="n">
        <v>17.78</v>
      </c>
      <c r="P35" t="inlineStr">
        <is>
          <t>40/270</t>
        </is>
      </c>
      <c r="Q35" s="50" t="n">
        <v>14.81</v>
      </c>
      <c r="R35" t="inlineStr">
        <is>
          <t>39/270</t>
        </is>
      </c>
      <c r="S35" t="n">
        <v>14.44</v>
      </c>
      <c r="T35" t="inlineStr">
        <is>
          <t>22/27</t>
        </is>
      </c>
      <c r="U35" t="n">
        <v>81.48</v>
      </c>
      <c r="V35" t="inlineStr">
        <is>
          <t>20/27</t>
        </is>
      </c>
      <c r="W35" t="n">
        <v>74.06999999999999</v>
      </c>
      <c r="X35" t="n">
        <v>34673</v>
      </c>
      <c r="Y35" t="n">
        <v>3237</v>
      </c>
      <c r="Z35" t="n">
        <v>37910</v>
      </c>
      <c r="AA35" t="n">
        <v>2403</v>
      </c>
      <c r="AB35" t="n">
        <v>219</v>
      </c>
      <c r="AC35" t="n">
        <v>2786</v>
      </c>
      <c r="AD35" t="n">
        <v>39</v>
      </c>
      <c r="AE35" t="n">
        <v>2</v>
      </c>
      <c r="AF35" t="n">
        <v>41</v>
      </c>
      <c r="AG35" t="n">
        <v>128.42</v>
      </c>
      <c r="AH35" t="n">
        <v>11.99</v>
      </c>
      <c r="AI35" t="n">
        <v>11.99</v>
      </c>
      <c r="AJ35" t="n">
        <v>10.32</v>
      </c>
      <c r="AK35" t="n">
        <v>0.8100000000000001</v>
      </c>
      <c r="AL35" t="n">
        <v>0.8100000000000001</v>
      </c>
      <c r="AM35" t="n">
        <v>0.14</v>
      </c>
      <c r="AN35" t="n">
        <v>0.01</v>
      </c>
      <c r="AO35" t="n">
        <v>0.15</v>
      </c>
      <c r="AP35" t="n">
        <v>128.02</v>
      </c>
      <c r="AQ35" s="12" t="n">
        <v>141453000000</v>
      </c>
      <c r="AR35" s="12" t="n">
        <v>179006095700</v>
      </c>
      <c r="AS35" s="24">
        <f>HYPERLINK("https://github.com/lottpicker/daily1689/blob/main/summary-v39.txt", "Click view")</f>
        <v/>
      </c>
    </row>
    <row r="36">
      <c r="A36" t="n">
        <v>40</v>
      </c>
      <c r="B36" t="inlineStr">
        <is>
          <t>100-369</t>
        </is>
      </c>
      <c r="C36" t="inlineStr">
        <is>
          <t>270</t>
        </is>
      </c>
      <c r="D36" s="28" t="n">
        <v>135.69</v>
      </c>
      <c r="E36" s="21" t="n">
        <v>50447959500</v>
      </c>
      <c r="F36" t="n">
        <v>40738</v>
      </c>
      <c r="G36" t="n">
        <v>3222</v>
      </c>
      <c r="H36" t="inlineStr">
        <is>
          <t>81/270</t>
        </is>
      </c>
      <c r="I36" s="48" t="n">
        <v>30</v>
      </c>
      <c r="J36" t="inlineStr">
        <is>
          <t>182/270</t>
        </is>
      </c>
      <c r="K36" s="47" t="n">
        <v>67.41</v>
      </c>
      <c r="L36" t="inlineStr">
        <is>
          <t>92/270</t>
        </is>
      </c>
      <c r="M36" s="51" t="n">
        <v>34.07</v>
      </c>
      <c r="N36" t="inlineStr">
        <is>
          <t>60/270</t>
        </is>
      </c>
      <c r="O36" t="n">
        <v>22.22</v>
      </c>
      <c r="P36" t="inlineStr">
        <is>
          <t>54/270</t>
        </is>
      </c>
      <c r="Q36" s="48" t="n">
        <v>20</v>
      </c>
      <c r="R36" t="inlineStr">
        <is>
          <t>53/270</t>
        </is>
      </c>
      <c r="S36" t="n">
        <v>19.63</v>
      </c>
      <c r="T36" t="inlineStr">
        <is>
          <t>24/27</t>
        </is>
      </c>
      <c r="U36" t="n">
        <v>88.89</v>
      </c>
      <c r="V36" t="inlineStr">
        <is>
          <t>23/27</t>
        </is>
      </c>
      <c r="W36" t="n">
        <v>85.19</v>
      </c>
      <c r="X36" t="n">
        <v>34882</v>
      </c>
      <c r="Y36" t="n">
        <v>3002</v>
      </c>
      <c r="Z36" t="n">
        <v>37884</v>
      </c>
      <c r="AA36" t="n">
        <v>2375</v>
      </c>
      <c r="AB36" t="n">
        <v>219</v>
      </c>
      <c r="AC36" t="n">
        <v>2802</v>
      </c>
      <c r="AD36" t="n">
        <v>51</v>
      </c>
      <c r="AE36" t="n">
        <v>1</v>
      </c>
      <c r="AF36" s="13" t="n">
        <v>52</v>
      </c>
      <c r="AG36" t="n">
        <v>129.19</v>
      </c>
      <c r="AH36" t="n">
        <v>11.12</v>
      </c>
      <c r="AI36" t="n">
        <v>11.12</v>
      </c>
      <c r="AJ36" t="n">
        <v>10.38</v>
      </c>
      <c r="AK36" t="n">
        <v>0.8100000000000001</v>
      </c>
      <c r="AL36" t="n">
        <v>0.8100000000000001</v>
      </c>
      <c r="AM36" t="n">
        <v>0.19</v>
      </c>
      <c r="AN36" t="n">
        <v>0</v>
      </c>
      <c r="AO36" t="n">
        <v>0.19</v>
      </c>
      <c r="AP36" t="n">
        <v>128.84</v>
      </c>
      <c r="AQ36" s="12" t="n">
        <v>141369300000</v>
      </c>
      <c r="AR36" s="12" t="n">
        <v>191817259500</v>
      </c>
      <c r="AS36" s="24">
        <f>HYPERLINK("https://github.com/lottpicker/daily1689/blob/main/summary-v40.txt", "Click view")</f>
        <v/>
      </c>
    </row>
    <row r="37">
      <c r="A37" t="n">
        <v>41</v>
      </c>
      <c r="B37" t="inlineStr">
        <is>
          <t>100-369</t>
        </is>
      </c>
      <c r="C37" t="inlineStr">
        <is>
          <t>270</t>
        </is>
      </c>
      <c r="D37" s="28" t="n">
        <v>137.41</v>
      </c>
      <c r="E37" s="21" t="n">
        <v>52880731500</v>
      </c>
      <c r="F37" t="n">
        <v>40738</v>
      </c>
      <c r="G37" t="n">
        <v>3383</v>
      </c>
      <c r="H37" t="inlineStr">
        <is>
          <t>81/270</t>
        </is>
      </c>
      <c r="I37" s="48" t="n">
        <v>30</v>
      </c>
      <c r="J37" t="inlineStr">
        <is>
          <t>186/270</t>
        </is>
      </c>
      <c r="K37" s="48" t="n">
        <v>68.89</v>
      </c>
      <c r="L37" t="inlineStr">
        <is>
          <t>101/270</t>
        </is>
      </c>
      <c r="M37" s="48" t="n">
        <v>37.41</v>
      </c>
      <c r="N37" t="inlineStr">
        <is>
          <t>62/270</t>
        </is>
      </c>
      <c r="O37" s="42" t="n">
        <v>22.96</v>
      </c>
      <c r="P37" t="inlineStr">
        <is>
          <t>53/270</t>
        </is>
      </c>
      <c r="Q37" s="50" t="n">
        <v>19.63</v>
      </c>
      <c r="R37" t="inlineStr">
        <is>
          <t>52/270</t>
        </is>
      </c>
      <c r="S37" t="n">
        <v>19.26</v>
      </c>
      <c r="T37" t="inlineStr">
        <is>
          <t>26/27</t>
        </is>
      </c>
      <c r="U37" s="14" t="n">
        <v>96.3</v>
      </c>
      <c r="V37" t="inlineStr">
        <is>
          <t>24/27</t>
        </is>
      </c>
      <c r="W37" t="n">
        <v>88.89</v>
      </c>
      <c r="X37" t="n">
        <v>34735</v>
      </c>
      <c r="Y37" t="n">
        <v>3149</v>
      </c>
      <c r="Z37" t="n">
        <v>37884</v>
      </c>
      <c r="AA37" t="n">
        <v>2365</v>
      </c>
      <c r="AB37" t="n">
        <v>229</v>
      </c>
      <c r="AC37" t="n">
        <v>2802</v>
      </c>
      <c r="AD37" t="n">
        <v>47</v>
      </c>
      <c r="AE37" t="n">
        <v>5</v>
      </c>
      <c r="AF37" s="13" t="n">
        <v>52</v>
      </c>
      <c r="AG37" t="n">
        <v>128.65</v>
      </c>
      <c r="AH37" t="n">
        <v>11.66</v>
      </c>
      <c r="AI37" t="n">
        <v>11.66</v>
      </c>
      <c r="AJ37" t="n">
        <v>10.38</v>
      </c>
      <c r="AK37" t="n">
        <v>0.85</v>
      </c>
      <c r="AL37" t="n">
        <v>0.85</v>
      </c>
      <c r="AM37" t="n">
        <v>0.17</v>
      </c>
      <c r="AN37" t="n">
        <v>0.02</v>
      </c>
      <c r="AO37" t="n">
        <v>0.19</v>
      </c>
      <c r="AP37" t="n">
        <v>128.23</v>
      </c>
      <c r="AQ37" s="12" t="n">
        <v>141369300000</v>
      </c>
      <c r="AR37" s="12" t="n">
        <v>194250031500</v>
      </c>
      <c r="AS37" s="24">
        <f>HYPERLINK("https://github.com/lottpicker/daily1689/blob/main/summary-v41.txt", "Click view")</f>
        <v/>
      </c>
    </row>
    <row r="38">
      <c r="A38" t="n">
        <v>42</v>
      </c>
      <c r="B38" t="inlineStr">
        <is>
          <t>100-369</t>
        </is>
      </c>
      <c r="C38" t="inlineStr">
        <is>
          <t>270</t>
        </is>
      </c>
      <c r="D38" s="28" t="n">
        <v>135.02</v>
      </c>
      <c r="E38" s="12" t="n">
        <v>49501097300</v>
      </c>
      <c r="F38" t="n">
        <v>40738</v>
      </c>
      <c r="G38" t="n">
        <v>3379</v>
      </c>
      <c r="H38" t="inlineStr">
        <is>
          <t>84/270</t>
        </is>
      </c>
      <c r="I38" s="47" t="n">
        <v>31.11</v>
      </c>
      <c r="J38" t="inlineStr">
        <is>
          <t>182/270</t>
        </is>
      </c>
      <c r="K38" s="47" t="n">
        <v>67.41</v>
      </c>
      <c r="L38" t="inlineStr">
        <is>
          <t>89/270</t>
        </is>
      </c>
      <c r="M38" s="42" t="n">
        <v>32.96</v>
      </c>
      <c r="N38" t="inlineStr">
        <is>
          <t>57/270</t>
        </is>
      </c>
      <c r="O38" t="n">
        <v>21.11</v>
      </c>
      <c r="P38" t="inlineStr">
        <is>
          <t>52/270</t>
        </is>
      </c>
      <c r="Q38" s="50" t="n">
        <v>19.26</v>
      </c>
      <c r="R38" t="inlineStr">
        <is>
          <t>52/270</t>
        </is>
      </c>
      <c r="S38" t="n">
        <v>19.26</v>
      </c>
      <c r="T38" t="inlineStr">
        <is>
          <t>25/27</t>
        </is>
      </c>
      <c r="U38" s="15" t="n">
        <v>92.59</v>
      </c>
      <c r="V38" t="inlineStr">
        <is>
          <t>23/27</t>
        </is>
      </c>
      <c r="W38" t="n">
        <v>85.19</v>
      </c>
      <c r="X38" t="n">
        <v>34714</v>
      </c>
      <c r="Y38" t="n">
        <v>3170</v>
      </c>
      <c r="Z38" t="n">
        <v>37884</v>
      </c>
      <c r="AA38" t="n">
        <v>2387</v>
      </c>
      <c r="AB38" t="n">
        <v>207</v>
      </c>
      <c r="AC38" t="n">
        <v>2802</v>
      </c>
      <c r="AD38" t="n">
        <v>50</v>
      </c>
      <c r="AE38" t="n">
        <v>2</v>
      </c>
      <c r="AF38" s="13" t="n">
        <v>52</v>
      </c>
      <c r="AG38" t="n">
        <v>128.57</v>
      </c>
      <c r="AH38" t="n">
        <v>11.74</v>
      </c>
      <c r="AI38" t="n">
        <v>11.74</v>
      </c>
      <c r="AJ38" t="n">
        <v>10.38</v>
      </c>
      <c r="AK38" t="n">
        <v>0.77</v>
      </c>
      <c r="AL38" t="n">
        <v>0.77</v>
      </c>
      <c r="AM38" t="n">
        <v>0.19</v>
      </c>
      <c r="AN38" t="n">
        <v>0.01</v>
      </c>
      <c r="AO38" t="n">
        <v>0.19</v>
      </c>
      <c r="AP38" t="n">
        <v>128.22</v>
      </c>
      <c r="AQ38" s="12" t="n">
        <v>141369300000</v>
      </c>
      <c r="AR38" s="12" t="n">
        <v>190870397300</v>
      </c>
      <c r="AS38" s="24">
        <f>HYPERLINK("https://github.com/lottpicker/daily1689/blob/main/summary-v42.txt", "Click view")</f>
        <v/>
      </c>
    </row>
    <row r="39">
      <c r="A39" t="n">
        <v>43</v>
      </c>
      <c r="B39" t="inlineStr">
        <is>
          <t>100-369</t>
        </is>
      </c>
      <c r="C39" t="inlineStr">
        <is>
          <t>270</t>
        </is>
      </c>
      <c r="D39" s="28" t="n">
        <v>136.96</v>
      </c>
      <c r="E39" s="21" t="n">
        <v>52252970800</v>
      </c>
      <c r="F39" t="n">
        <v>40738</v>
      </c>
      <c r="G39" t="n">
        <v>3461</v>
      </c>
      <c r="H39" t="inlineStr">
        <is>
          <t>84/270</t>
        </is>
      </c>
      <c r="I39" s="47" t="n">
        <v>31.11</v>
      </c>
      <c r="J39" t="inlineStr">
        <is>
          <t>182/270</t>
        </is>
      </c>
      <c r="K39" s="47" t="n">
        <v>67.41</v>
      </c>
      <c r="L39" t="inlineStr">
        <is>
          <t>101/270</t>
        </is>
      </c>
      <c r="M39" s="48" t="n">
        <v>37.41</v>
      </c>
      <c r="N39" t="inlineStr">
        <is>
          <t>62/270</t>
        </is>
      </c>
      <c r="O39" s="42" t="n">
        <v>22.96</v>
      </c>
      <c r="P39" t="inlineStr">
        <is>
          <t>55/270</t>
        </is>
      </c>
      <c r="Q39" s="48" t="n">
        <v>20.37</v>
      </c>
      <c r="R39" t="inlineStr">
        <is>
          <t>53/270</t>
        </is>
      </c>
      <c r="S39" t="n">
        <v>19.63</v>
      </c>
      <c r="T39" t="inlineStr">
        <is>
          <t>27/27</t>
        </is>
      </c>
      <c r="U39" s="13" t="n">
        <v>100</v>
      </c>
      <c r="V39" t="inlineStr">
        <is>
          <t>24/27</t>
        </is>
      </c>
      <c r="W39" t="n">
        <v>88.89</v>
      </c>
      <c r="X39" t="n">
        <v>34650</v>
      </c>
      <c r="Y39" t="n">
        <v>3234</v>
      </c>
      <c r="Z39" t="n">
        <v>37884</v>
      </c>
      <c r="AA39" t="n">
        <v>2372</v>
      </c>
      <c r="AB39" t="n">
        <v>222</v>
      </c>
      <c r="AC39" t="n">
        <v>2802</v>
      </c>
      <c r="AD39" t="n">
        <v>47</v>
      </c>
      <c r="AE39" t="n">
        <v>5</v>
      </c>
      <c r="AF39" s="13" t="n">
        <v>52</v>
      </c>
      <c r="AG39" t="n">
        <v>128.33</v>
      </c>
      <c r="AH39" t="n">
        <v>11.98</v>
      </c>
      <c r="AI39" t="n">
        <v>11.98</v>
      </c>
      <c r="AJ39" t="n">
        <v>10.38</v>
      </c>
      <c r="AK39" t="n">
        <v>0.82</v>
      </c>
      <c r="AL39" t="n">
        <v>0.82</v>
      </c>
      <c r="AM39" t="n">
        <v>0.17</v>
      </c>
      <c r="AN39" t="n">
        <v>0.02</v>
      </c>
      <c r="AO39" t="n">
        <v>0.19</v>
      </c>
      <c r="AP39" t="n">
        <v>127.89</v>
      </c>
      <c r="AQ39" s="12" t="n">
        <v>141369300000</v>
      </c>
      <c r="AR39" s="12" t="n">
        <v>193622270800</v>
      </c>
      <c r="AS39" s="24">
        <f>HYPERLINK("https://github.com/lottpicker/daily1689/blob/main/summary-v43.txt", "Click view")</f>
        <v/>
      </c>
    </row>
    <row r="40">
      <c r="A40" t="n">
        <v>44</v>
      </c>
      <c r="B40" t="inlineStr">
        <is>
          <t>100-369</t>
        </is>
      </c>
      <c r="C40" t="inlineStr">
        <is>
          <t>270</t>
        </is>
      </c>
      <c r="D40" s="42" t="n">
        <v>134.39</v>
      </c>
      <c r="E40" s="12" t="n">
        <v>48611685100</v>
      </c>
      <c r="F40" t="n">
        <v>40738</v>
      </c>
      <c r="G40" t="n">
        <v>3283</v>
      </c>
      <c r="H40" t="inlineStr">
        <is>
          <t>91/270</t>
        </is>
      </c>
      <c r="I40" s="47" t="n">
        <v>33.7</v>
      </c>
      <c r="J40" t="inlineStr">
        <is>
          <t>174/270</t>
        </is>
      </c>
      <c r="K40" s="47" t="n">
        <v>64.44</v>
      </c>
      <c r="L40" t="inlineStr">
        <is>
          <t>89/270</t>
        </is>
      </c>
      <c r="M40" s="42" t="n">
        <v>32.96</v>
      </c>
      <c r="N40" t="inlineStr">
        <is>
          <t>66/270</t>
        </is>
      </c>
      <c r="O40" s="42" t="n">
        <v>24.44</v>
      </c>
      <c r="P40" t="inlineStr">
        <is>
          <t>53/270</t>
        </is>
      </c>
      <c r="Q40" s="50" t="n">
        <v>19.63</v>
      </c>
      <c r="R40" t="inlineStr">
        <is>
          <t>52/270</t>
        </is>
      </c>
      <c r="S40" t="n">
        <v>19.26</v>
      </c>
      <c r="T40" t="inlineStr">
        <is>
          <t>24/27</t>
        </is>
      </c>
      <c r="U40" t="n">
        <v>88.89</v>
      </c>
      <c r="V40" t="inlineStr">
        <is>
          <t>24/27</t>
        </is>
      </c>
      <c r="W40" t="n">
        <v>88.89</v>
      </c>
      <c r="X40" t="n">
        <v>34811</v>
      </c>
      <c r="Y40" t="n">
        <v>3073</v>
      </c>
      <c r="Z40" t="n">
        <v>37884</v>
      </c>
      <c r="AA40" t="n">
        <v>2389</v>
      </c>
      <c r="AB40" t="n">
        <v>205</v>
      </c>
      <c r="AC40" t="n">
        <v>2802</v>
      </c>
      <c r="AD40" t="n">
        <v>47</v>
      </c>
      <c r="AE40" t="n">
        <v>5</v>
      </c>
      <c r="AF40" s="13" t="n">
        <v>52</v>
      </c>
      <c r="AG40" t="n">
        <v>128.93</v>
      </c>
      <c r="AH40" t="n">
        <v>11.38</v>
      </c>
      <c r="AI40" t="n">
        <v>11.38</v>
      </c>
      <c r="AJ40" t="n">
        <v>10.38</v>
      </c>
      <c r="AK40" t="n">
        <v>0.76</v>
      </c>
      <c r="AL40" t="n">
        <v>0.76</v>
      </c>
      <c r="AM40" t="n">
        <v>0.17</v>
      </c>
      <c r="AN40" t="n">
        <v>0.02</v>
      </c>
      <c r="AO40" t="n">
        <v>0.19</v>
      </c>
      <c r="AP40" t="n">
        <v>128.61</v>
      </c>
      <c r="AQ40" s="12" t="n">
        <v>141369300000</v>
      </c>
      <c r="AR40" s="12" t="n">
        <v>189980985100</v>
      </c>
      <c r="AS40" s="24">
        <f>HYPERLINK("https://github.com/lottpicker/daily1689/blob/main/summary-v44.txt", "Click view")</f>
        <v/>
      </c>
    </row>
    <row r="41">
      <c r="A41" t="n">
        <v>45</v>
      </c>
      <c r="B41" t="inlineStr">
        <is>
          <t>100-369</t>
        </is>
      </c>
      <c r="C41" t="inlineStr">
        <is>
          <t>270</t>
        </is>
      </c>
      <c r="D41" s="22" t="n">
        <v>138.2</v>
      </c>
      <c r="E41" s="16" t="n">
        <v>54002546000</v>
      </c>
      <c r="F41" t="n">
        <v>40771</v>
      </c>
      <c r="G41" t="n">
        <v>3393</v>
      </c>
      <c r="H41" t="inlineStr">
        <is>
          <t>84/270</t>
        </is>
      </c>
      <c r="I41" s="47" t="n">
        <v>31.11</v>
      </c>
      <c r="J41" t="inlineStr">
        <is>
          <t>180/270</t>
        </is>
      </c>
      <c r="K41" s="47" t="n">
        <v>66.67</v>
      </c>
      <c r="L41" t="inlineStr">
        <is>
          <t>99/270</t>
        </is>
      </c>
      <c r="M41" s="48" t="n">
        <v>36.67</v>
      </c>
      <c r="N41" t="inlineStr">
        <is>
          <t>64/270</t>
        </is>
      </c>
      <c r="O41" s="42" t="n">
        <v>23.7</v>
      </c>
      <c r="P41" t="inlineStr">
        <is>
          <t>57/270</t>
        </is>
      </c>
      <c r="Q41" s="49" t="n">
        <v>21.11</v>
      </c>
      <c r="R41" t="inlineStr">
        <is>
          <t>55/270</t>
        </is>
      </c>
      <c r="S41" t="n">
        <v>20.37</v>
      </c>
      <c r="T41" t="inlineStr">
        <is>
          <t>27/27</t>
        </is>
      </c>
      <c r="U41" s="14" t="n">
        <v>100</v>
      </c>
      <c r="V41" t="inlineStr">
        <is>
          <t>26/27</t>
        </is>
      </c>
      <c r="W41" s="14" t="n">
        <v>96.3</v>
      </c>
      <c r="X41" t="n">
        <v>34749</v>
      </c>
      <c r="Y41" t="n">
        <v>3175</v>
      </c>
      <c r="Z41" t="n">
        <v>37924</v>
      </c>
      <c r="AA41" t="n">
        <v>2360</v>
      </c>
      <c r="AB41" t="n">
        <v>212</v>
      </c>
      <c r="AC41" t="n">
        <v>2792</v>
      </c>
      <c r="AD41" t="n">
        <v>49</v>
      </c>
      <c r="AE41" t="n">
        <v>6</v>
      </c>
      <c r="AF41" s="13" t="n">
        <v>55</v>
      </c>
      <c r="AG41" t="n">
        <v>128.7</v>
      </c>
      <c r="AH41" t="n">
        <v>11.76</v>
      </c>
      <c r="AI41" t="n">
        <v>11.76</v>
      </c>
      <c r="AJ41" t="n">
        <v>10.34</v>
      </c>
      <c r="AK41" t="n">
        <v>0.79</v>
      </c>
      <c r="AL41" t="n">
        <v>0.79</v>
      </c>
      <c r="AM41" t="n">
        <v>0.18</v>
      </c>
      <c r="AN41" t="n">
        <v>0.02</v>
      </c>
      <c r="AO41" s="13" t="n">
        <v>0.2</v>
      </c>
      <c r="AP41" t="n">
        <v>128.17</v>
      </c>
      <c r="AQ41" s="12" t="n">
        <v>141369300000</v>
      </c>
      <c r="AR41" s="16" t="n">
        <v>195371846000</v>
      </c>
      <c r="AS41" s="24">
        <f>HYPERLINK("https://github.com/lottpicker/daily1689/blob/main/summary-v45.txt", "Click view")</f>
        <v/>
      </c>
    </row>
    <row r="42">
      <c r="A42" s="27" t="n">
        <v>46</v>
      </c>
      <c r="B42" t="inlineStr">
        <is>
          <t>100-369</t>
        </is>
      </c>
      <c r="C42" t="inlineStr">
        <is>
          <t>270</t>
        </is>
      </c>
      <c r="D42" s="22" t="n">
        <v>140.57</v>
      </c>
      <c r="E42" s="16" t="n">
        <v>57348861100</v>
      </c>
      <c r="F42" t="n">
        <v>40771</v>
      </c>
      <c r="G42" t="n">
        <v>3410</v>
      </c>
      <c r="H42" t="inlineStr">
        <is>
          <t>81/270</t>
        </is>
      </c>
      <c r="I42" s="48" t="n">
        <v>30</v>
      </c>
      <c r="J42" t="inlineStr">
        <is>
          <t>187/270</t>
        </is>
      </c>
      <c r="K42" s="48" t="n">
        <v>69.26000000000001</v>
      </c>
      <c r="L42" t="inlineStr">
        <is>
          <t>103/270</t>
        </is>
      </c>
      <c r="M42" s="49" t="n">
        <v>38.15</v>
      </c>
      <c r="N42" t="inlineStr">
        <is>
          <t>70/270</t>
        </is>
      </c>
      <c r="O42" s="42" t="n">
        <v>25.93</v>
      </c>
      <c r="P42" t="inlineStr">
        <is>
          <t>57/270</t>
        </is>
      </c>
      <c r="Q42" s="49" t="n">
        <v>21.11</v>
      </c>
      <c r="R42" t="inlineStr">
        <is>
          <t>55/270</t>
        </is>
      </c>
      <c r="S42" t="n">
        <v>20.37</v>
      </c>
      <c r="T42" t="inlineStr">
        <is>
          <t>26/27</t>
        </is>
      </c>
      <c r="U42" s="14" t="n">
        <v>96.3</v>
      </c>
      <c r="V42" t="inlineStr">
        <is>
          <t>26/27</t>
        </is>
      </c>
      <c r="W42" s="14" t="n">
        <v>96.3</v>
      </c>
      <c r="X42" t="n">
        <v>34751</v>
      </c>
      <c r="Y42" t="n">
        <v>3173</v>
      </c>
      <c r="Z42" t="n">
        <v>37924</v>
      </c>
      <c r="AA42" t="n">
        <v>2339</v>
      </c>
      <c r="AB42" t="n">
        <v>233</v>
      </c>
      <c r="AC42" t="n">
        <v>2792</v>
      </c>
      <c r="AD42" t="n">
        <v>51</v>
      </c>
      <c r="AE42" t="n">
        <v>4</v>
      </c>
      <c r="AF42" s="13" t="n">
        <v>55</v>
      </c>
      <c r="AG42" t="n">
        <v>128.71</v>
      </c>
      <c r="AH42" t="n">
        <v>11.75</v>
      </c>
      <c r="AI42" t="n">
        <v>11.75</v>
      </c>
      <c r="AJ42" t="n">
        <v>10.34</v>
      </c>
      <c r="AK42" t="n">
        <v>0.86</v>
      </c>
      <c r="AL42" t="n">
        <v>0.86</v>
      </c>
      <c r="AM42" t="n">
        <v>0.19</v>
      </c>
      <c r="AN42" t="n">
        <v>0.01</v>
      </c>
      <c r="AO42" s="13" t="n">
        <v>0.2</v>
      </c>
      <c r="AP42" t="n">
        <v>128.11</v>
      </c>
      <c r="AQ42" s="12" t="n">
        <v>141369300000</v>
      </c>
      <c r="AR42" s="16" t="n">
        <v>198718161100</v>
      </c>
      <c r="AS42" s="24">
        <f>HYPERLINK("https://github.com/lottpicker/daily1689/blob/main/summary-v46.txt", "Click view")</f>
        <v/>
      </c>
    </row>
    <row r="43">
      <c r="A43" t="n">
        <v>47</v>
      </c>
      <c r="B43" t="inlineStr">
        <is>
          <t>100-369</t>
        </is>
      </c>
      <c r="C43" t="inlineStr">
        <is>
          <t>270</t>
        </is>
      </c>
      <c r="D43" s="42" t="n">
        <v>134.65</v>
      </c>
      <c r="E43" s="12" t="n">
        <v>48981467300</v>
      </c>
      <c r="F43" t="n">
        <v>40780</v>
      </c>
      <c r="G43" t="n">
        <v>3318</v>
      </c>
      <c r="H43" t="inlineStr">
        <is>
          <t>102/270</t>
        </is>
      </c>
      <c r="I43" s="47" t="n">
        <v>37.78</v>
      </c>
      <c r="J43" t="inlineStr">
        <is>
          <t>163/270</t>
        </is>
      </c>
      <c r="K43" s="47" t="n">
        <v>60.37</v>
      </c>
      <c r="L43" t="inlineStr">
        <is>
          <t>96/270</t>
        </is>
      </c>
      <c r="M43" s="51" t="n">
        <v>35.56</v>
      </c>
      <c r="N43" t="inlineStr">
        <is>
          <t>62/270</t>
        </is>
      </c>
      <c r="O43" s="42" t="n">
        <v>22.96</v>
      </c>
      <c r="P43" t="inlineStr">
        <is>
          <t>56/270</t>
        </is>
      </c>
      <c r="Q43" s="48" t="n">
        <v>20.74</v>
      </c>
      <c r="R43" t="inlineStr">
        <is>
          <t>53/270</t>
        </is>
      </c>
      <c r="S43" t="n">
        <v>19.63</v>
      </c>
      <c r="T43" t="inlineStr">
        <is>
          <t>25/27</t>
        </is>
      </c>
      <c r="U43" s="15" t="n">
        <v>92.59</v>
      </c>
      <c r="V43" t="inlineStr">
        <is>
          <t>22/27</t>
        </is>
      </c>
      <c r="W43" t="n">
        <v>81.48</v>
      </c>
      <c r="X43" t="n">
        <v>34826</v>
      </c>
      <c r="Y43" t="n">
        <v>3113</v>
      </c>
      <c r="Z43" t="n">
        <v>37939</v>
      </c>
      <c r="AA43" t="n">
        <v>2377</v>
      </c>
      <c r="AB43" t="n">
        <v>199</v>
      </c>
      <c r="AC43" t="n">
        <v>2788</v>
      </c>
      <c r="AD43" t="n">
        <v>47</v>
      </c>
      <c r="AE43" t="n">
        <v>6</v>
      </c>
      <c r="AF43" s="13" t="n">
        <v>53</v>
      </c>
      <c r="AG43" t="n">
        <v>128.99</v>
      </c>
      <c r="AH43" t="n">
        <v>11.53</v>
      </c>
      <c r="AI43" t="n">
        <v>11.53</v>
      </c>
      <c r="AJ43" t="n">
        <v>10.33</v>
      </c>
      <c r="AK43" t="n">
        <v>0.74</v>
      </c>
      <c r="AL43" t="n">
        <v>0.74</v>
      </c>
      <c r="AM43" t="n">
        <v>0.17</v>
      </c>
      <c r="AN43" t="n">
        <v>0.02</v>
      </c>
      <c r="AO43" s="13" t="n">
        <v>0.2</v>
      </c>
      <c r="AP43" t="n">
        <v>128.44</v>
      </c>
      <c r="AQ43" s="12" t="n">
        <v>141369300000</v>
      </c>
      <c r="AR43" s="12" t="n">
        <v>190350767300</v>
      </c>
      <c r="AS43" s="24">
        <f>HYPERLINK("https://github.com/lottpicker/daily1689/blob/main/summary-v47.txt", "Click view")</f>
        <v/>
      </c>
    </row>
    <row r="44">
      <c r="A44" t="n">
        <v>48</v>
      </c>
      <c r="B44" t="inlineStr">
        <is>
          <t>100-369</t>
        </is>
      </c>
      <c r="C44" t="inlineStr">
        <is>
          <t>270</t>
        </is>
      </c>
      <c r="D44" s="22" t="n">
        <v>138.61</v>
      </c>
      <c r="E44" s="16" t="n">
        <v>54578818400</v>
      </c>
      <c r="F44" t="n">
        <v>40780</v>
      </c>
      <c r="G44" t="n">
        <v>3454</v>
      </c>
      <c r="H44" t="inlineStr">
        <is>
          <t>70/270</t>
        </is>
      </c>
      <c r="I44" s="49" t="n">
        <v>25.93</v>
      </c>
      <c r="J44" t="inlineStr">
        <is>
          <t>196/270</t>
        </is>
      </c>
      <c r="K44" s="49" t="n">
        <v>72.59</v>
      </c>
      <c r="L44" t="inlineStr">
        <is>
          <t>99/270</t>
        </is>
      </c>
      <c r="M44" s="48" t="n">
        <v>36.67</v>
      </c>
      <c r="N44" t="inlineStr">
        <is>
          <t>62/270</t>
        </is>
      </c>
      <c r="O44" s="42" t="n">
        <v>22.96</v>
      </c>
      <c r="P44" t="inlineStr">
        <is>
          <t>55/270</t>
        </is>
      </c>
      <c r="Q44" s="48" t="n">
        <v>20.37</v>
      </c>
      <c r="R44" t="inlineStr">
        <is>
          <t>53/270</t>
        </is>
      </c>
      <c r="S44" t="n">
        <v>19.63</v>
      </c>
      <c r="T44" t="inlineStr">
        <is>
          <t>24/27</t>
        </is>
      </c>
      <c r="U44" t="n">
        <v>88.89</v>
      </c>
      <c r="V44" t="inlineStr">
        <is>
          <t>22/27</t>
        </is>
      </c>
      <c r="W44" t="n">
        <v>81.48</v>
      </c>
      <c r="X44" t="n">
        <v>34717</v>
      </c>
      <c r="Y44" t="n">
        <v>3222</v>
      </c>
      <c r="Z44" t="n">
        <v>37939</v>
      </c>
      <c r="AA44" t="n">
        <v>2346</v>
      </c>
      <c r="AB44" t="n">
        <v>230</v>
      </c>
      <c r="AC44" t="n">
        <v>2788</v>
      </c>
      <c r="AD44" t="n">
        <v>51</v>
      </c>
      <c r="AE44" t="n">
        <v>2</v>
      </c>
      <c r="AF44" s="13" t="n">
        <v>53</v>
      </c>
      <c r="AG44" t="n">
        <v>128.58</v>
      </c>
      <c r="AH44" t="n">
        <v>11.93</v>
      </c>
      <c r="AI44" t="n">
        <v>11.93</v>
      </c>
      <c r="AJ44" t="n">
        <v>10.33</v>
      </c>
      <c r="AK44" t="n">
        <v>0.85</v>
      </c>
      <c r="AL44" t="n">
        <v>0.85</v>
      </c>
      <c r="AM44" t="n">
        <v>0.19</v>
      </c>
      <c r="AN44" t="n">
        <v>0.01</v>
      </c>
      <c r="AO44" s="13" t="n">
        <v>0.2</v>
      </c>
      <c r="AP44" t="n">
        <v>128</v>
      </c>
      <c r="AQ44" s="12" t="n">
        <v>141369300000</v>
      </c>
      <c r="AR44" s="16" t="n">
        <v>195948118400</v>
      </c>
      <c r="AS44" s="24">
        <f>HYPERLINK("https://github.com/lottpicker/daily1689/blob/main/summary-v48.txt", "Click view")</f>
        <v/>
      </c>
    </row>
    <row r="45">
      <c r="A45" t="n">
        <v>49</v>
      </c>
      <c r="B45" t="inlineStr">
        <is>
          <t>100-369</t>
        </is>
      </c>
      <c r="C45" t="inlineStr">
        <is>
          <t>270</t>
        </is>
      </c>
      <c r="D45" s="28" t="n">
        <v>137.42</v>
      </c>
      <c r="E45" s="21" t="n">
        <v>52902770000</v>
      </c>
      <c r="F45" t="n">
        <v>40801</v>
      </c>
      <c r="G45" t="n">
        <v>3370</v>
      </c>
      <c r="H45" t="inlineStr">
        <is>
          <t>92/270</t>
        </is>
      </c>
      <c r="I45" s="47" t="n">
        <v>34.07</v>
      </c>
      <c r="J45" t="inlineStr">
        <is>
          <t>172/270</t>
        </is>
      </c>
      <c r="K45" s="47" t="n">
        <v>63.7</v>
      </c>
      <c r="L45" t="inlineStr">
        <is>
          <t>98/270</t>
        </is>
      </c>
      <c r="M45" s="48" t="n">
        <v>36.3</v>
      </c>
      <c r="N45" t="inlineStr">
        <is>
          <t>66/270</t>
        </is>
      </c>
      <c r="O45" s="42" t="n">
        <v>24.44</v>
      </c>
      <c r="P45" t="inlineStr">
        <is>
          <t>57/270</t>
        </is>
      </c>
      <c r="Q45" s="49" t="n">
        <v>21.11</v>
      </c>
      <c r="R45" t="inlineStr">
        <is>
          <t>56/270</t>
        </is>
      </c>
      <c r="S45" t="n">
        <v>20.74</v>
      </c>
      <c r="T45" t="inlineStr">
        <is>
          <t>24/27</t>
        </is>
      </c>
      <c r="U45" t="n">
        <v>88.89</v>
      </c>
      <c r="V45" t="inlineStr">
        <is>
          <t>23/27</t>
        </is>
      </c>
      <c r="W45" t="n">
        <v>85.19</v>
      </c>
      <c r="X45" t="n">
        <v>34800</v>
      </c>
      <c r="Y45" t="n">
        <v>3160</v>
      </c>
      <c r="Z45" t="n">
        <v>37960</v>
      </c>
      <c r="AA45" t="n">
        <v>2360</v>
      </c>
      <c r="AB45" t="n">
        <v>206</v>
      </c>
      <c r="AC45" t="n">
        <v>2786</v>
      </c>
      <c r="AD45" t="n">
        <v>51</v>
      </c>
      <c r="AE45" t="n">
        <v>4</v>
      </c>
      <c r="AF45" s="13" t="n">
        <v>55</v>
      </c>
      <c r="AG45" t="n">
        <v>128.89</v>
      </c>
      <c r="AH45" t="n">
        <v>11.7</v>
      </c>
      <c r="AI45" t="n">
        <v>11.7</v>
      </c>
      <c r="AJ45" t="n">
        <v>10.32</v>
      </c>
      <c r="AK45" t="n">
        <v>0.76</v>
      </c>
      <c r="AL45" t="n">
        <v>0.76</v>
      </c>
      <c r="AM45" t="n">
        <v>0.19</v>
      </c>
      <c r="AN45" t="n">
        <v>0.01</v>
      </c>
      <c r="AO45" s="13" t="n">
        <v>0.2</v>
      </c>
      <c r="AP45" t="n">
        <v>128.28</v>
      </c>
      <c r="AQ45" s="12" t="n">
        <v>141369300000</v>
      </c>
      <c r="AR45" s="12" t="n">
        <v>194272070000</v>
      </c>
      <c r="AS45" s="24">
        <f>HYPERLINK("https://github.com/lottpicker/daily1689/blob/main/summary-v49.txt", "Click view")</f>
        <v/>
      </c>
    </row>
    <row r="46">
      <c r="A46" t="n">
        <v>50</v>
      </c>
      <c r="B46" t="inlineStr">
        <is>
          <t>100-369</t>
        </is>
      </c>
      <c r="C46" t="inlineStr">
        <is>
          <t>270</t>
        </is>
      </c>
      <c r="D46" s="28" t="n">
        <v>136.32</v>
      </c>
      <c r="E46" s="21" t="n">
        <v>51347102400</v>
      </c>
      <c r="F46" t="n">
        <v>40793</v>
      </c>
      <c r="G46" t="n">
        <v>3369</v>
      </c>
      <c r="H46" t="inlineStr">
        <is>
          <t>80/270</t>
        </is>
      </c>
      <c r="I46" s="49" t="n">
        <v>29.63</v>
      </c>
      <c r="J46" t="inlineStr">
        <is>
          <t>185/270</t>
        </is>
      </c>
      <c r="K46" s="48" t="n">
        <v>68.52</v>
      </c>
      <c r="L46" t="inlineStr">
        <is>
          <t>101/270</t>
        </is>
      </c>
      <c r="M46" s="48" t="n">
        <v>37.41</v>
      </c>
      <c r="N46" t="inlineStr">
        <is>
          <t>62/270</t>
        </is>
      </c>
      <c r="O46" s="42" t="n">
        <v>22.96</v>
      </c>
      <c r="P46" t="inlineStr">
        <is>
          <t>53/270</t>
        </is>
      </c>
      <c r="Q46" s="50" t="n">
        <v>19.63</v>
      </c>
      <c r="R46" t="inlineStr">
        <is>
          <t>51/270</t>
        </is>
      </c>
      <c r="S46" t="n">
        <v>18.89</v>
      </c>
      <c r="T46" t="inlineStr">
        <is>
          <t>27/27</t>
        </is>
      </c>
      <c r="U46" s="14" t="n">
        <v>100</v>
      </c>
      <c r="V46" t="inlineStr">
        <is>
          <t>27/27</t>
        </is>
      </c>
      <c r="W46" s="13" t="n">
        <v>100</v>
      </c>
      <c r="X46" t="n">
        <v>34833</v>
      </c>
      <c r="Y46" t="n">
        <v>3134</v>
      </c>
      <c r="Z46" t="n">
        <v>37967</v>
      </c>
      <c r="AA46" t="n">
        <v>2341</v>
      </c>
      <c r="AB46" t="n">
        <v>230</v>
      </c>
      <c r="AC46" t="n">
        <v>2775</v>
      </c>
      <c r="AD46" t="n">
        <v>46</v>
      </c>
      <c r="AE46" t="n">
        <v>5</v>
      </c>
      <c r="AF46" s="13" t="n">
        <v>51</v>
      </c>
      <c r="AG46" t="n">
        <v>129.01</v>
      </c>
      <c r="AH46" t="n">
        <v>11.61</v>
      </c>
      <c r="AI46" t="n">
        <v>11.61</v>
      </c>
      <c r="AJ46" t="n">
        <v>10.28</v>
      </c>
      <c r="AK46" t="n">
        <v>0.85</v>
      </c>
      <c r="AL46" t="n">
        <v>0.85</v>
      </c>
      <c r="AM46" t="n">
        <v>0.17</v>
      </c>
      <c r="AN46" t="n">
        <v>0.02</v>
      </c>
      <c r="AO46" s="13" t="n">
        <v>0.19</v>
      </c>
      <c r="AP46" t="n">
        <v>128.27</v>
      </c>
      <c r="AQ46" s="12" t="n">
        <v>141369300000</v>
      </c>
      <c r="AR46" s="12" t="n">
        <v>192716402400</v>
      </c>
      <c r="AS46" s="24">
        <f>HYPERLINK("https://github.com/lottpicker/daily1689/blob/main/summary-v50.txt", "Click view")</f>
        <v/>
      </c>
    </row>
    <row r="47">
      <c r="A47" t="n">
        <v>51</v>
      </c>
      <c r="B47" t="inlineStr">
        <is>
          <t>100-369</t>
        </is>
      </c>
      <c r="C47" t="inlineStr">
        <is>
          <t>270</t>
        </is>
      </c>
      <c r="D47" s="28" t="n">
        <v>137.68</v>
      </c>
      <c r="E47" s="16" t="n">
        <v>53269245700</v>
      </c>
      <c r="F47" t="n">
        <v>40738</v>
      </c>
      <c r="G47" t="n">
        <v>3399</v>
      </c>
      <c r="H47" t="inlineStr">
        <is>
          <t>72/270</t>
        </is>
      </c>
      <c r="I47" s="49" t="n">
        <v>26.67</v>
      </c>
      <c r="J47" t="inlineStr">
        <is>
          <t>193/270</t>
        </is>
      </c>
      <c r="K47" s="49" t="n">
        <v>71.48</v>
      </c>
      <c r="L47" t="inlineStr">
        <is>
          <t>100/270</t>
        </is>
      </c>
      <c r="M47" s="48" t="n">
        <v>37.04</v>
      </c>
      <c r="N47" t="inlineStr">
        <is>
          <t>63/270</t>
        </is>
      </c>
      <c r="O47" s="42" t="n">
        <v>23.33</v>
      </c>
      <c r="P47" t="inlineStr">
        <is>
          <t>55/270</t>
        </is>
      </c>
      <c r="Q47" s="48" t="n">
        <v>20.37</v>
      </c>
      <c r="R47" t="inlineStr">
        <is>
          <t>52/270</t>
        </is>
      </c>
      <c r="S47" t="n">
        <v>19.26</v>
      </c>
      <c r="T47" t="inlineStr">
        <is>
          <t>25/27</t>
        </is>
      </c>
      <c r="U47" s="26" t="n">
        <v>92.59</v>
      </c>
      <c r="V47" t="inlineStr">
        <is>
          <t>24/27</t>
        </is>
      </c>
      <c r="W47" t="n">
        <v>88.89</v>
      </c>
      <c r="X47" t="n">
        <v>34722</v>
      </c>
      <c r="Y47" t="n">
        <v>3162</v>
      </c>
      <c r="Z47" t="n">
        <v>37884</v>
      </c>
      <c r="AA47" t="n">
        <v>2363</v>
      </c>
      <c r="AB47" t="n">
        <v>231</v>
      </c>
      <c r="AC47" t="n">
        <v>2802</v>
      </c>
      <c r="AD47" t="n">
        <v>46</v>
      </c>
      <c r="AE47" t="n">
        <v>6</v>
      </c>
      <c r="AF47" s="13" t="n">
        <v>52</v>
      </c>
      <c r="AG47" t="n">
        <v>128.6</v>
      </c>
      <c r="AH47" t="n">
        <v>11.71</v>
      </c>
      <c r="AI47" t="n">
        <v>11.71</v>
      </c>
      <c r="AJ47" t="n">
        <v>10.38</v>
      </c>
      <c r="AK47" t="n">
        <v>0.86</v>
      </c>
      <c r="AL47" t="n">
        <v>0.86</v>
      </c>
      <c r="AM47" t="n">
        <v>0.17</v>
      </c>
      <c r="AN47" t="n">
        <v>0.02</v>
      </c>
      <c r="AO47" t="n">
        <v>0.19</v>
      </c>
      <c r="AP47" t="n">
        <v>128.14</v>
      </c>
      <c r="AQ47" s="12" t="n">
        <v>141369300000</v>
      </c>
      <c r="AR47" s="12" t="n">
        <v>194638545700</v>
      </c>
      <c r="AS47" s="24">
        <f>HYPERLINK("https://github.com/lottpicker/daily1689/blob/main/summary-v51.txt", "Click view")</f>
        <v/>
      </c>
    </row>
    <row r="48">
      <c r="A48" t="n">
        <v>52</v>
      </c>
      <c r="B48" t="inlineStr">
        <is>
          <t>100-369</t>
        </is>
      </c>
      <c r="C48" t="inlineStr">
        <is>
          <t>270</t>
        </is>
      </c>
      <c r="D48" s="42" t="n">
        <v>134.38</v>
      </c>
      <c r="E48" s="12" t="n">
        <v>48607784700</v>
      </c>
      <c r="F48" t="n">
        <v>40738</v>
      </c>
      <c r="G48" t="n">
        <v>3393</v>
      </c>
      <c r="H48" t="inlineStr">
        <is>
          <t>97/270</t>
        </is>
      </c>
      <c r="I48" s="47" t="n">
        <v>35.93</v>
      </c>
      <c r="J48" t="inlineStr">
        <is>
          <t>165/270</t>
        </is>
      </c>
      <c r="K48" s="47" t="n">
        <v>61.11</v>
      </c>
      <c r="L48" t="inlineStr">
        <is>
          <t>89/270</t>
        </is>
      </c>
      <c r="M48" s="42" t="n">
        <v>32.96</v>
      </c>
      <c r="N48" t="inlineStr">
        <is>
          <t>56/270</t>
        </is>
      </c>
      <c r="O48" t="n">
        <v>20.74</v>
      </c>
      <c r="P48" t="inlineStr">
        <is>
          <t>52/270</t>
        </is>
      </c>
      <c r="Q48" s="50" t="n">
        <v>19.26</v>
      </c>
      <c r="R48" t="inlineStr">
        <is>
          <t>52/270</t>
        </is>
      </c>
      <c r="S48" t="n">
        <v>19.26</v>
      </c>
      <c r="T48" t="inlineStr">
        <is>
          <t>26/27</t>
        </is>
      </c>
      <c r="U48" s="14" t="n">
        <v>96.3</v>
      </c>
      <c r="V48" t="inlineStr">
        <is>
          <t>23/27</t>
        </is>
      </c>
      <c r="W48" t="n">
        <v>85.19</v>
      </c>
      <c r="X48" t="n">
        <v>34700</v>
      </c>
      <c r="Y48" t="n">
        <v>3184</v>
      </c>
      <c r="Z48" t="n">
        <v>37884</v>
      </c>
      <c r="AA48" t="n">
        <v>2393</v>
      </c>
      <c r="AB48" t="n">
        <v>201</v>
      </c>
      <c r="AC48" t="n">
        <v>2802</v>
      </c>
      <c r="AD48" t="n">
        <v>44</v>
      </c>
      <c r="AE48" s="13" t="n">
        <v>8</v>
      </c>
      <c r="AF48" s="13" t="n">
        <v>52</v>
      </c>
      <c r="AG48" t="n">
        <v>128.52</v>
      </c>
      <c r="AH48" t="n">
        <v>11.79</v>
      </c>
      <c r="AI48" t="n">
        <v>11.79</v>
      </c>
      <c r="AJ48" t="n">
        <v>10.38</v>
      </c>
      <c r="AK48" t="n">
        <v>0.74</v>
      </c>
      <c r="AL48" t="n">
        <v>0.74</v>
      </c>
      <c r="AM48" t="n">
        <v>0.16</v>
      </c>
      <c r="AN48" t="n">
        <v>0.03</v>
      </c>
      <c r="AO48" t="n">
        <v>0.19</v>
      </c>
      <c r="AP48" t="n">
        <v>128.22</v>
      </c>
      <c r="AQ48" s="12" t="n">
        <v>141369300000</v>
      </c>
      <c r="AR48" s="12" t="n">
        <v>189977084700</v>
      </c>
      <c r="AS48" s="24">
        <f>HYPERLINK("https://github.com/lottpicker/daily1689/blob/main/summary-v52.txt", "Click view")</f>
        <v/>
      </c>
    </row>
    <row r="49">
      <c r="A49" t="n">
        <v>53</v>
      </c>
      <c r="B49" t="inlineStr">
        <is>
          <t>100-369</t>
        </is>
      </c>
      <c r="C49" t="inlineStr">
        <is>
          <t>270</t>
        </is>
      </c>
      <c r="D49" s="28" t="n">
        <v>135.4</v>
      </c>
      <c r="E49" s="21" t="n">
        <v>50044682800</v>
      </c>
      <c r="F49" t="n">
        <v>40738</v>
      </c>
      <c r="G49" t="n">
        <v>3346</v>
      </c>
      <c r="H49" t="inlineStr">
        <is>
          <t>90/270</t>
        </is>
      </c>
      <c r="I49" s="47" t="n">
        <v>33.33</v>
      </c>
      <c r="J49" t="inlineStr">
        <is>
          <t>177/270</t>
        </is>
      </c>
      <c r="K49" s="47" t="n">
        <v>65.56</v>
      </c>
      <c r="L49" t="inlineStr">
        <is>
          <t>95/270</t>
        </is>
      </c>
      <c r="M49" s="51" t="n">
        <v>35.19</v>
      </c>
      <c r="N49" t="inlineStr">
        <is>
          <t>60/270</t>
        </is>
      </c>
      <c r="O49" t="n">
        <v>22.22</v>
      </c>
      <c r="P49" t="inlineStr">
        <is>
          <t>54/270</t>
        </is>
      </c>
      <c r="Q49" s="48" t="n">
        <v>20</v>
      </c>
      <c r="R49" t="inlineStr">
        <is>
          <t>52/270</t>
        </is>
      </c>
      <c r="S49" t="n">
        <v>19.26</v>
      </c>
      <c r="T49" t="inlineStr">
        <is>
          <t>26/27</t>
        </is>
      </c>
      <c r="U49" s="14" t="n">
        <v>96.3</v>
      </c>
      <c r="V49" t="inlineStr">
        <is>
          <t>24/27</t>
        </is>
      </c>
      <c r="W49" t="n">
        <v>88.89</v>
      </c>
      <c r="X49" t="n">
        <v>34756</v>
      </c>
      <c r="Y49" t="n">
        <v>3128</v>
      </c>
      <c r="Z49" t="n">
        <v>37884</v>
      </c>
      <c r="AA49" t="n">
        <v>2382</v>
      </c>
      <c r="AB49" t="n">
        <v>212</v>
      </c>
      <c r="AC49" t="n">
        <v>2802</v>
      </c>
      <c r="AD49" t="n">
        <v>46</v>
      </c>
      <c r="AE49" t="n">
        <v>6</v>
      </c>
      <c r="AF49" s="13" t="n">
        <v>52</v>
      </c>
      <c r="AG49" t="n">
        <v>128.73</v>
      </c>
      <c r="AH49" t="n">
        <v>11.59</v>
      </c>
      <c r="AI49" t="n">
        <v>11.59</v>
      </c>
      <c r="AJ49" t="n">
        <v>10.38</v>
      </c>
      <c r="AK49" t="n">
        <v>0.79</v>
      </c>
      <c r="AL49" t="n">
        <v>0.79</v>
      </c>
      <c r="AM49" t="n">
        <v>0.17</v>
      </c>
      <c r="AN49" t="n">
        <v>0.02</v>
      </c>
      <c r="AO49" t="n">
        <v>0.19</v>
      </c>
      <c r="AP49" t="n">
        <v>128.39</v>
      </c>
      <c r="AQ49" s="12" t="n">
        <v>141369300000</v>
      </c>
      <c r="AR49" s="12" t="n">
        <v>191413982800</v>
      </c>
      <c r="AS49" s="24">
        <f>HYPERLINK("https://github.com/lottpicker/daily1689/blob/main/summary-v53.txt", "Click view")</f>
        <v/>
      </c>
    </row>
    <row r="50">
      <c r="A50" t="n">
        <v>54</v>
      </c>
      <c r="B50" t="inlineStr">
        <is>
          <t>100-369</t>
        </is>
      </c>
      <c r="C50" t="inlineStr">
        <is>
          <t>270</t>
        </is>
      </c>
      <c r="D50" s="42" t="n">
        <v>133.11</v>
      </c>
      <c r="E50" s="12" t="n">
        <v>46813614000</v>
      </c>
      <c r="F50" t="n">
        <v>40738</v>
      </c>
      <c r="G50" t="n">
        <v>3257</v>
      </c>
      <c r="H50" t="inlineStr">
        <is>
          <t>100/270</t>
        </is>
      </c>
      <c r="I50" s="47" t="n">
        <v>37.04</v>
      </c>
      <c r="J50" t="inlineStr">
        <is>
          <t>163/270</t>
        </is>
      </c>
      <c r="K50" s="47" t="n">
        <v>60.37</v>
      </c>
      <c r="L50" t="inlineStr">
        <is>
          <t>91/270</t>
        </is>
      </c>
      <c r="M50" s="42" t="n">
        <v>33.7</v>
      </c>
      <c r="N50" t="inlineStr">
        <is>
          <t>58/270</t>
        </is>
      </c>
      <c r="O50" t="n">
        <v>21.48</v>
      </c>
      <c r="P50" t="inlineStr">
        <is>
          <t>53/270</t>
        </is>
      </c>
      <c r="Q50" s="50" t="n">
        <v>19.63</v>
      </c>
      <c r="R50" t="inlineStr">
        <is>
          <t>52/270</t>
        </is>
      </c>
      <c r="S50" t="n">
        <v>19.26</v>
      </c>
      <c r="T50" t="inlineStr">
        <is>
          <t>25/27</t>
        </is>
      </c>
      <c r="U50" s="15" t="n">
        <v>92.59</v>
      </c>
      <c r="V50" t="inlineStr">
        <is>
          <t>25/27</t>
        </is>
      </c>
      <c r="W50" s="26" t="n">
        <v>92.59</v>
      </c>
      <c r="X50" t="n">
        <v>34821</v>
      </c>
      <c r="Y50" t="n">
        <v>3063</v>
      </c>
      <c r="Z50" t="n">
        <v>37884</v>
      </c>
      <c r="AA50" t="n">
        <v>2400</v>
      </c>
      <c r="AB50" t="n">
        <v>194</v>
      </c>
      <c r="AC50" t="n">
        <v>2802</v>
      </c>
      <c r="AD50" t="n">
        <v>52</v>
      </c>
      <c r="AE50" t="n">
        <v>0</v>
      </c>
      <c r="AF50" s="13" t="n">
        <v>52</v>
      </c>
      <c r="AG50" t="n">
        <v>128.97</v>
      </c>
      <c r="AH50" t="n">
        <v>11.34</v>
      </c>
      <c r="AI50" t="n">
        <v>11.34</v>
      </c>
      <c r="AJ50" t="n">
        <v>10.38</v>
      </c>
      <c r="AK50" t="n">
        <v>0.72</v>
      </c>
      <c r="AL50" t="n">
        <v>0.72</v>
      </c>
      <c r="AM50" t="n">
        <v>0.19</v>
      </c>
      <c r="AN50" t="n">
        <v>0</v>
      </c>
      <c r="AO50" t="n">
        <v>0.19</v>
      </c>
      <c r="AP50" t="n">
        <v>128.68</v>
      </c>
      <c r="AQ50" s="12" t="n">
        <v>141369300000</v>
      </c>
      <c r="AR50" s="12" t="n">
        <v>188182914000</v>
      </c>
      <c r="AS50" s="24">
        <f>HYPERLINK("https://github.com/lottpicker/daily1689/blob/main/summary-v54.txt", "Click view")</f>
        <v/>
      </c>
    </row>
    <row r="51">
      <c r="A51" t="n">
        <v>55</v>
      </c>
      <c r="B51" t="inlineStr">
        <is>
          <t>100-369</t>
        </is>
      </c>
      <c r="C51" t="inlineStr">
        <is>
          <t>270</t>
        </is>
      </c>
      <c r="D51" s="28" t="n">
        <v>137.6</v>
      </c>
      <c r="E51" s="16" t="n">
        <v>53149326700</v>
      </c>
      <c r="F51" t="n">
        <v>40738</v>
      </c>
      <c r="G51" t="n">
        <v>3378</v>
      </c>
      <c r="H51" t="inlineStr">
        <is>
          <t>82/270</t>
        </is>
      </c>
      <c r="I51" s="52" t="n">
        <v>30.37</v>
      </c>
      <c r="J51" t="inlineStr">
        <is>
          <t>182/270</t>
        </is>
      </c>
      <c r="K51" t="n">
        <v>67.41</v>
      </c>
      <c r="L51" t="inlineStr">
        <is>
          <t>106/270</t>
        </is>
      </c>
      <c r="M51" s="13" t="n">
        <v>39.26</v>
      </c>
      <c r="N51" t="inlineStr">
        <is>
          <t>66/270</t>
        </is>
      </c>
      <c r="O51" s="42" t="n">
        <v>24.44</v>
      </c>
      <c r="P51" t="inlineStr">
        <is>
          <t>57/270</t>
        </is>
      </c>
      <c r="Q51" s="49" t="n">
        <v>21.11</v>
      </c>
      <c r="R51" t="inlineStr">
        <is>
          <t>52/270</t>
        </is>
      </c>
      <c r="S51" t="n">
        <v>19.26</v>
      </c>
      <c r="T51" t="inlineStr">
        <is>
          <t>26/27</t>
        </is>
      </c>
      <c r="U51" s="14" t="n">
        <v>96.3</v>
      </c>
      <c r="V51" t="inlineStr">
        <is>
          <t>25/27</t>
        </is>
      </c>
      <c r="W51" s="26" t="n">
        <v>92.59</v>
      </c>
      <c r="X51" t="n">
        <v>34743</v>
      </c>
      <c r="Y51" t="n">
        <v>3141</v>
      </c>
      <c r="Z51" t="n">
        <v>37884</v>
      </c>
      <c r="AA51" t="n">
        <v>2363</v>
      </c>
      <c r="AB51" t="n">
        <v>231</v>
      </c>
      <c r="AC51" t="n">
        <v>2802</v>
      </c>
      <c r="AD51" t="n">
        <v>46</v>
      </c>
      <c r="AE51" t="n">
        <v>6</v>
      </c>
      <c r="AF51" s="13" t="n">
        <v>52</v>
      </c>
      <c r="AG51" t="n">
        <v>128.68</v>
      </c>
      <c r="AH51" t="n">
        <v>11.63</v>
      </c>
      <c r="AI51" t="n">
        <v>11.63</v>
      </c>
      <c r="AJ51" t="n">
        <v>10.38</v>
      </c>
      <c r="AK51" t="n">
        <v>0.86</v>
      </c>
      <c r="AL51" t="n">
        <v>0.86</v>
      </c>
      <c r="AM51" t="n">
        <v>0.17</v>
      </c>
      <c r="AN51" t="n">
        <v>0.02</v>
      </c>
      <c r="AO51" t="n">
        <v>0.19</v>
      </c>
      <c r="AP51" t="n">
        <v>128.24</v>
      </c>
      <c r="AQ51" s="12" t="n">
        <v>141369300000</v>
      </c>
      <c r="AR51" s="12" t="n">
        <v>194518626700</v>
      </c>
      <c r="AS51" s="24">
        <f>HYPERLINK("https://github.com/lottpicker/daily1689/blob/main/summary-v55.txt", "Click view")</f>
        <v/>
      </c>
    </row>
    <row r="52">
      <c r="A52" t="n">
        <v>56</v>
      </c>
      <c r="B52" t="inlineStr">
        <is>
          <t>100-369</t>
        </is>
      </c>
      <c r="C52" t="inlineStr">
        <is>
          <t>270</t>
        </is>
      </c>
      <c r="D52" s="42" t="n">
        <v>128.97</v>
      </c>
      <c r="E52" s="12" t="n">
        <v>40960367800</v>
      </c>
      <c r="F52" t="n">
        <v>40709</v>
      </c>
      <c r="G52" t="n">
        <v>3420</v>
      </c>
      <c r="H52" t="inlineStr">
        <is>
          <t>93/270</t>
        </is>
      </c>
      <c r="I52" t="n">
        <v>34.44</v>
      </c>
      <c r="J52" t="inlineStr">
        <is>
          <t>171/270</t>
        </is>
      </c>
      <c r="K52" t="n">
        <v>63.33</v>
      </c>
      <c r="L52" t="inlineStr">
        <is>
          <t>91/270</t>
        </is>
      </c>
      <c r="M52" s="42" t="n">
        <v>33.7</v>
      </c>
      <c r="N52" t="inlineStr">
        <is>
          <t>51/270</t>
        </is>
      </c>
      <c r="O52" t="n">
        <v>18.89</v>
      </c>
      <c r="P52" t="inlineStr">
        <is>
          <t>46/270</t>
        </is>
      </c>
      <c r="Q52" s="50" t="n">
        <v>17.04</v>
      </c>
      <c r="R52" t="inlineStr">
        <is>
          <t>43/270</t>
        </is>
      </c>
      <c r="S52" t="n">
        <v>15.93</v>
      </c>
      <c r="T52" t="inlineStr">
        <is>
          <t>25/27</t>
        </is>
      </c>
      <c r="U52" s="15" t="n">
        <v>92.59</v>
      </c>
      <c r="V52" t="inlineStr">
        <is>
          <t>23/27</t>
        </is>
      </c>
      <c r="W52" t="n">
        <v>85.19</v>
      </c>
      <c r="X52" t="n">
        <v>34697</v>
      </c>
      <c r="Y52" t="n">
        <v>3186</v>
      </c>
      <c r="Z52" t="n">
        <v>37883</v>
      </c>
      <c r="AA52" t="n">
        <v>2382</v>
      </c>
      <c r="AB52" t="n">
        <v>234</v>
      </c>
      <c r="AC52" t="n">
        <v>2784</v>
      </c>
      <c r="AD52" t="n">
        <v>42</v>
      </c>
      <c r="AE52" t="n">
        <v>0</v>
      </c>
      <c r="AF52" t="n">
        <v>42</v>
      </c>
      <c r="AG52" t="n">
        <v>128.51</v>
      </c>
      <c r="AH52" t="n">
        <v>11.8</v>
      </c>
      <c r="AI52" t="n">
        <v>11.8</v>
      </c>
      <c r="AJ52" t="n">
        <v>10.31</v>
      </c>
      <c r="AK52" t="n">
        <v>0.87</v>
      </c>
      <c r="AL52" t="n">
        <v>0.87</v>
      </c>
      <c r="AM52" t="n">
        <v>0.16</v>
      </c>
      <c r="AN52" t="n">
        <v>0</v>
      </c>
      <c r="AO52" t="n">
        <v>0.16</v>
      </c>
      <c r="AP52" t="n">
        <v>128.08</v>
      </c>
      <c r="AQ52" s="12" t="n">
        <v>141369300000</v>
      </c>
      <c r="AR52" s="12" t="n">
        <v>182329667800</v>
      </c>
      <c r="AS52">
        <f>HYPERLINK("https://github.com/lottpicker/daily1689/blob/main/summary-v56.txt", "Click view")</f>
        <v/>
      </c>
    </row>
    <row r="53">
      <c r="A53" s="27" t="n">
        <v>57</v>
      </c>
      <c r="B53" t="inlineStr">
        <is>
          <t>100-369</t>
        </is>
      </c>
      <c r="C53" t="inlineStr">
        <is>
          <t>270</t>
        </is>
      </c>
      <c r="D53" s="22" t="n">
        <v>147.69</v>
      </c>
      <c r="E53" s="16" t="n">
        <v>67423731200</v>
      </c>
      <c r="F53" t="n">
        <v>40837</v>
      </c>
      <c r="G53" s="13" t="n">
        <v>3698</v>
      </c>
      <c r="H53" t="inlineStr">
        <is>
          <t>97/270</t>
        </is>
      </c>
      <c r="I53" t="n">
        <v>35.93</v>
      </c>
      <c r="J53" t="inlineStr">
        <is>
          <t>157/270</t>
        </is>
      </c>
      <c r="K53" t="n">
        <v>58.15</v>
      </c>
      <c r="L53" t="inlineStr">
        <is>
          <t>111/270</t>
        </is>
      </c>
      <c r="M53" s="13" t="n">
        <v>41.11</v>
      </c>
      <c r="N53" t="inlineStr">
        <is>
          <t>94/270</t>
        </is>
      </c>
      <c r="O53" s="22" t="n">
        <v>34.81</v>
      </c>
      <c r="P53" t="inlineStr">
        <is>
          <t>83/270</t>
        </is>
      </c>
      <c r="Q53" s="13" t="n">
        <v>30.74</v>
      </c>
      <c r="R53" t="inlineStr">
        <is>
          <t>70/270</t>
        </is>
      </c>
      <c r="S53" t="n">
        <v>25.93</v>
      </c>
      <c r="T53" t="inlineStr">
        <is>
          <t>27/27</t>
        </is>
      </c>
      <c r="U53" s="13" t="n">
        <v>100</v>
      </c>
      <c r="V53" t="inlineStr">
        <is>
          <t>25/27</t>
        </is>
      </c>
      <c r="W53" s="14" t="n">
        <v>92.59</v>
      </c>
      <c r="X53" t="n">
        <v>34535</v>
      </c>
      <c r="Y53" t="n">
        <v>3454</v>
      </c>
      <c r="Z53" t="n">
        <v>37989</v>
      </c>
      <c r="AA53" t="n">
        <v>2308</v>
      </c>
      <c r="AB53" t="n">
        <v>240</v>
      </c>
      <c r="AC53" t="n">
        <v>2788</v>
      </c>
      <c r="AD53" t="n">
        <v>56</v>
      </c>
      <c r="AE53" t="n">
        <v>4</v>
      </c>
      <c r="AF53" s="13" t="n">
        <v>60</v>
      </c>
      <c r="AG53" t="n">
        <v>127.91</v>
      </c>
      <c r="AH53" t="n">
        <v>12.79</v>
      </c>
      <c r="AI53" t="n">
        <v>12.79</v>
      </c>
      <c r="AJ53" t="n">
        <v>10.33</v>
      </c>
      <c r="AK53" t="n">
        <v>0.89</v>
      </c>
      <c r="AL53" t="n">
        <v>0.89</v>
      </c>
      <c r="AM53" t="n">
        <v>0.21</v>
      </c>
      <c r="AN53" t="n">
        <v>0.01</v>
      </c>
      <c r="AO53" s="13" t="n">
        <v>0.22</v>
      </c>
      <c r="AP53" s="13" t="n">
        <v>139</v>
      </c>
      <c r="AQ53" s="12" t="n">
        <v>141369300000</v>
      </c>
      <c r="AR53" s="16" t="n">
        <v>208793031200</v>
      </c>
      <c r="AS53">
        <f>HYPERLINK("https://github.com/lottpicker/daily1689/blob/main/summary-v57.txt", "Click view")</f>
        <v/>
      </c>
    </row>
    <row r="54">
      <c r="A54" s="27" t="n">
        <v>58</v>
      </c>
      <c r="B54" t="inlineStr">
        <is>
          <t>100-369</t>
        </is>
      </c>
      <c r="C54" t="inlineStr">
        <is>
          <t>270</t>
        </is>
      </c>
      <c r="D54" s="22" t="n">
        <v>144.65</v>
      </c>
      <c r="E54" s="16" t="n">
        <v>63122855300</v>
      </c>
      <c r="F54" t="n">
        <v>40837</v>
      </c>
      <c r="G54" t="n">
        <v>3542</v>
      </c>
      <c r="H54" t="inlineStr">
        <is>
          <t>91/270</t>
        </is>
      </c>
      <c r="I54" t="n">
        <v>33.7</v>
      </c>
      <c r="J54" t="inlineStr">
        <is>
          <t>165/270</t>
        </is>
      </c>
      <c r="K54" t="n">
        <v>61.11</v>
      </c>
      <c r="L54" t="inlineStr">
        <is>
          <t>110/270</t>
        </is>
      </c>
      <c r="M54" s="13" t="n">
        <v>40.74</v>
      </c>
      <c r="N54" t="inlineStr">
        <is>
          <t>84/270</t>
        </is>
      </c>
      <c r="O54" s="22" t="n">
        <v>31.11</v>
      </c>
      <c r="P54" t="inlineStr">
        <is>
          <t>72/270</t>
        </is>
      </c>
      <c r="Q54" s="49" t="n">
        <v>26.67</v>
      </c>
      <c r="R54" t="inlineStr">
        <is>
          <t>61/270</t>
        </is>
      </c>
      <c r="S54" t="n">
        <v>22.59</v>
      </c>
      <c r="T54" t="inlineStr">
        <is>
          <t>26/27</t>
        </is>
      </c>
      <c r="U54" s="14" t="n">
        <v>96.3</v>
      </c>
      <c r="V54" t="inlineStr">
        <is>
          <t>26/27</t>
        </is>
      </c>
      <c r="W54" s="14" t="n">
        <v>96.3</v>
      </c>
      <c r="X54" t="n">
        <v>34675</v>
      </c>
      <c r="Y54" t="n">
        <v>3314</v>
      </c>
      <c r="Z54" t="n">
        <v>37989</v>
      </c>
      <c r="AA54" t="n">
        <v>2327</v>
      </c>
      <c r="AB54" t="n">
        <v>221</v>
      </c>
      <c r="AC54" t="n">
        <v>2788</v>
      </c>
      <c r="AD54" t="n">
        <v>53</v>
      </c>
      <c r="AE54" t="n">
        <v>7</v>
      </c>
      <c r="AF54" s="13" t="n">
        <v>60</v>
      </c>
      <c r="AG54" t="n">
        <v>128.43</v>
      </c>
      <c r="AH54" t="n">
        <v>12.27</v>
      </c>
      <c r="AI54" t="n">
        <v>12.27</v>
      </c>
      <c r="AJ54" t="n">
        <v>10.33</v>
      </c>
      <c r="AK54" t="n">
        <v>0.82</v>
      </c>
      <c r="AL54" t="n">
        <v>0.82</v>
      </c>
      <c r="AM54" t="n">
        <v>0.2</v>
      </c>
      <c r="AN54" t="n">
        <v>0.03</v>
      </c>
      <c r="AO54" s="13" t="n">
        <v>0.22</v>
      </c>
      <c r="AP54" s="13" t="n">
        <v>134.24</v>
      </c>
      <c r="AQ54" s="12" t="n">
        <v>141369300000</v>
      </c>
      <c r="AR54" s="16" t="n">
        <v>204492155300</v>
      </c>
      <c r="AS54">
        <f>HYPERLINK("https://github.com/lottpicker/daily1689/blob/main/summary-v58.txt", "Click view")</f>
        <v/>
      </c>
    </row>
    <row r="55">
      <c r="A55" s="29" t="n">
        <v>59</v>
      </c>
      <c r="B55" t="inlineStr">
        <is>
          <t>100-369</t>
        </is>
      </c>
      <c r="C55" t="inlineStr">
        <is>
          <t>270</t>
        </is>
      </c>
      <c r="D55" s="22" t="n">
        <v>143.95</v>
      </c>
      <c r="E55" s="16" t="n">
        <v>62136608600</v>
      </c>
      <c r="F55" t="n">
        <v>40837</v>
      </c>
      <c r="G55" t="n">
        <v>3387</v>
      </c>
      <c r="H55" t="inlineStr">
        <is>
          <t>80/270</t>
        </is>
      </c>
      <c r="I55" s="53" t="n">
        <v>29.63</v>
      </c>
      <c r="J55" t="inlineStr">
        <is>
          <t>186/270</t>
        </is>
      </c>
      <c r="K55" s="14" t="n">
        <v>68.89</v>
      </c>
      <c r="L55" t="inlineStr">
        <is>
          <t>104/270</t>
        </is>
      </c>
      <c r="M55" s="13" t="n">
        <v>38.52</v>
      </c>
      <c r="N55" t="inlineStr">
        <is>
          <t>70/270</t>
        </is>
      </c>
      <c r="O55" s="42" t="n">
        <v>25.93</v>
      </c>
      <c r="P55" t="inlineStr">
        <is>
          <t>63/270</t>
        </is>
      </c>
      <c r="Q55" s="49" t="n">
        <v>23.33</v>
      </c>
      <c r="R55" t="inlineStr">
        <is>
          <t>60/270</t>
        </is>
      </c>
      <c r="S55" t="n">
        <v>22.22</v>
      </c>
      <c r="T55" t="inlineStr">
        <is>
          <t>26/27</t>
        </is>
      </c>
      <c r="U55" s="14" t="n">
        <v>96.3</v>
      </c>
      <c r="V55" t="inlineStr">
        <is>
          <t>26/27</t>
        </is>
      </c>
      <c r="W55" s="14" t="n">
        <v>96.3</v>
      </c>
      <c r="X55" t="n">
        <v>34833</v>
      </c>
      <c r="Y55" t="n">
        <v>3156</v>
      </c>
      <c r="Z55" t="n">
        <v>37989</v>
      </c>
      <c r="AA55" t="n">
        <v>2324</v>
      </c>
      <c r="AB55" t="n">
        <v>224</v>
      </c>
      <c r="AC55" t="n">
        <v>2788</v>
      </c>
      <c r="AD55" t="n">
        <v>53</v>
      </c>
      <c r="AE55" t="n">
        <v>7</v>
      </c>
      <c r="AF55" s="13" t="n">
        <v>60</v>
      </c>
      <c r="AG55" t="n">
        <v>129.01</v>
      </c>
      <c r="AH55" t="n">
        <v>11.69</v>
      </c>
      <c r="AI55" t="n">
        <v>11.69</v>
      </c>
      <c r="AJ55" t="n">
        <v>10.33</v>
      </c>
      <c r="AK55" t="n">
        <v>0.83</v>
      </c>
      <c r="AL55" t="n">
        <v>0.83</v>
      </c>
      <c r="AM55" t="n">
        <v>0.2</v>
      </c>
      <c r="AN55" t="n">
        <v>0.03</v>
      </c>
      <c r="AO55" t="n">
        <v>0.22</v>
      </c>
      <c r="AP55" t="n">
        <v>128.26</v>
      </c>
      <c r="AQ55" s="12" t="n">
        <v>141369300000</v>
      </c>
      <c r="AR55" s="16" t="n">
        <v>203505908600</v>
      </c>
      <c r="AS55">
        <f>HYPERLINK("https://github.com/lottpicker/daily1689/blob/main/summary-v59.txt", "Click view")</f>
        <v/>
      </c>
    </row>
    <row r="56">
      <c r="A56" s="27" t="n">
        <v>60</v>
      </c>
      <c r="B56" t="inlineStr">
        <is>
          <t>100-369</t>
        </is>
      </c>
      <c r="C56" t="inlineStr">
        <is>
          <t>270</t>
        </is>
      </c>
      <c r="D56" s="22" t="n">
        <v>143.42</v>
      </c>
      <c r="E56" s="16" t="n">
        <v>61386324100</v>
      </c>
      <c r="F56" t="n">
        <v>40837</v>
      </c>
      <c r="G56" t="n">
        <v>3391</v>
      </c>
      <c r="H56" t="inlineStr">
        <is>
          <t>82/270</t>
        </is>
      </c>
      <c r="I56" s="52" t="n">
        <v>30.37</v>
      </c>
      <c r="J56" t="inlineStr">
        <is>
          <t>184/270</t>
        </is>
      </c>
      <c r="K56" s="14" t="n">
        <v>68.15000000000001</v>
      </c>
      <c r="L56" t="inlineStr">
        <is>
          <t>99/270</t>
        </is>
      </c>
      <c r="M56" t="n">
        <v>36.67</v>
      </c>
      <c r="N56" t="inlineStr">
        <is>
          <t>67/270</t>
        </is>
      </c>
      <c r="O56" s="42" t="n">
        <v>24.81</v>
      </c>
      <c r="P56" t="inlineStr">
        <is>
          <t>61/270</t>
        </is>
      </c>
      <c r="Q56" s="49" t="n">
        <v>22.59</v>
      </c>
      <c r="R56" t="inlineStr">
        <is>
          <t>60/270</t>
        </is>
      </c>
      <c r="S56" t="n">
        <v>22.22</v>
      </c>
      <c r="T56" t="inlineStr">
        <is>
          <t>27/27</t>
        </is>
      </c>
      <c r="U56" s="14" t="n">
        <v>100</v>
      </c>
      <c r="V56" t="inlineStr">
        <is>
          <t>26/27</t>
        </is>
      </c>
      <c r="W56" s="14" t="n">
        <v>96.3</v>
      </c>
      <c r="X56" t="n">
        <v>34824</v>
      </c>
      <c r="Y56" t="n">
        <v>3165</v>
      </c>
      <c r="Z56" t="n">
        <v>37989</v>
      </c>
      <c r="AA56" t="n">
        <v>2329</v>
      </c>
      <c r="AB56" t="n">
        <v>219</v>
      </c>
      <c r="AC56" t="n">
        <v>2788</v>
      </c>
      <c r="AD56" t="n">
        <v>53</v>
      </c>
      <c r="AE56" t="n">
        <v>7</v>
      </c>
      <c r="AF56" s="13" t="n">
        <v>60</v>
      </c>
      <c r="AG56" t="n">
        <v>128.98</v>
      </c>
      <c r="AH56" t="n">
        <v>11.72</v>
      </c>
      <c r="AI56" t="n">
        <v>11.72</v>
      </c>
      <c r="AJ56" t="n">
        <v>10.33</v>
      </c>
      <c r="AK56" t="n">
        <v>0.8100000000000001</v>
      </c>
      <c r="AL56" t="n">
        <v>0.8100000000000001</v>
      </c>
      <c r="AM56" t="n">
        <v>0.2</v>
      </c>
      <c r="AN56" t="n">
        <v>0.03</v>
      </c>
      <c r="AO56" t="n">
        <v>0.22</v>
      </c>
      <c r="AP56" t="n">
        <v>128.19</v>
      </c>
      <c r="AQ56" s="12" t="n">
        <v>141369300000</v>
      </c>
      <c r="AR56" s="16" t="n">
        <v>202755624100</v>
      </c>
      <c r="AS56">
        <f>HYPERLINK("https://github.com/lottpicker/daily1689/blob/main/summary-v60.txt", "Click view")</f>
        <v/>
      </c>
    </row>
    <row r="57">
      <c r="A57" t="n">
        <v>61</v>
      </c>
      <c r="B57" t="inlineStr">
        <is>
          <t>100-369</t>
        </is>
      </c>
      <c r="C57" t="inlineStr">
        <is>
          <t>270</t>
        </is>
      </c>
      <c r="D57" t="n">
        <v>130.98</v>
      </c>
      <c r="E57" s="12" t="n">
        <v>43792295200</v>
      </c>
      <c r="F57" t="n">
        <v>40728</v>
      </c>
      <c r="G57" t="n">
        <v>3325</v>
      </c>
      <c r="H57" t="inlineStr">
        <is>
          <t>88/270</t>
        </is>
      </c>
      <c r="I57" t="n">
        <v>32.59</v>
      </c>
      <c r="J57" t="inlineStr">
        <is>
          <t>174/270</t>
        </is>
      </c>
      <c r="K57" t="n">
        <v>64.44</v>
      </c>
      <c r="L57" t="inlineStr">
        <is>
          <t>95/270</t>
        </is>
      </c>
      <c r="M57" t="n">
        <v>35.19</v>
      </c>
      <c r="N57" t="inlineStr">
        <is>
          <t>50/270</t>
        </is>
      </c>
      <c r="O57" t="n">
        <v>18.52</v>
      </c>
      <c r="P57" t="inlineStr">
        <is>
          <t>48/270</t>
        </is>
      </c>
      <c r="Q57" t="n">
        <v>17.78</v>
      </c>
      <c r="R57" t="inlineStr">
        <is>
          <t>47/270</t>
        </is>
      </c>
      <c r="S57" t="n">
        <v>17.41</v>
      </c>
      <c r="T57" t="inlineStr">
        <is>
          <t>25/27</t>
        </is>
      </c>
      <c r="U57" t="n">
        <v>92.59</v>
      </c>
      <c r="V57" t="inlineStr">
        <is>
          <t>23/27</t>
        </is>
      </c>
      <c r="W57" t="n">
        <v>85.19</v>
      </c>
      <c r="X57" t="n">
        <v>34780</v>
      </c>
      <c r="Y57" t="n">
        <v>3106</v>
      </c>
      <c r="Z57" t="n">
        <v>37886</v>
      </c>
      <c r="AA57" t="n">
        <v>2393</v>
      </c>
      <c r="AB57" t="n">
        <v>214</v>
      </c>
      <c r="AC57" t="n">
        <v>2795</v>
      </c>
      <c r="AD57" t="n">
        <v>42</v>
      </c>
      <c r="AE57" t="n">
        <v>5</v>
      </c>
      <c r="AF57" t="n">
        <v>47</v>
      </c>
      <c r="AG57" t="n">
        <v>128.81</v>
      </c>
      <c r="AH57" t="n">
        <v>11.5</v>
      </c>
      <c r="AI57" t="n">
        <v>11.5</v>
      </c>
      <c r="AJ57" t="n">
        <v>10.35</v>
      </c>
      <c r="AK57" t="n">
        <v>0.79</v>
      </c>
      <c r="AL57" t="n">
        <v>0.79</v>
      </c>
      <c r="AM57" t="n">
        <v>0.16</v>
      </c>
      <c r="AN57" t="n">
        <v>0.02</v>
      </c>
      <c r="AO57" t="n">
        <v>0.17</v>
      </c>
      <c r="AP57" t="n">
        <v>128.43</v>
      </c>
      <c r="AQ57" s="12" t="n">
        <v>141369300000</v>
      </c>
      <c r="AR57" s="12" t="n">
        <v>185161595200</v>
      </c>
      <c r="AS57">
        <f>HYPERLINK("https://github.com/lottpicker/daily1689/blob/main/summary-v61.txt", "Click view")</f>
        <v/>
      </c>
    </row>
    <row r="58">
      <c r="A58" t="n">
        <v>62</v>
      </c>
      <c r="B58" t="inlineStr">
        <is>
          <t>100-369</t>
        </is>
      </c>
      <c r="C58" t="inlineStr">
        <is>
          <t>270</t>
        </is>
      </c>
      <c r="D58" t="n">
        <v>129.25</v>
      </c>
      <c r="E58" s="12" t="n">
        <v>41347921100</v>
      </c>
      <c r="F58" t="n">
        <v>40706</v>
      </c>
      <c r="G58" t="n">
        <v>3405</v>
      </c>
      <c r="H58" t="inlineStr">
        <is>
          <t>84/270</t>
        </is>
      </c>
      <c r="I58" t="n">
        <v>31.11</v>
      </c>
      <c r="J58" t="inlineStr">
        <is>
          <t>179/270</t>
        </is>
      </c>
      <c r="K58" t="n">
        <v>66.3</v>
      </c>
      <c r="L58" t="inlineStr">
        <is>
          <t>90/270</t>
        </is>
      </c>
      <c r="M58" t="n">
        <v>33.33</v>
      </c>
      <c r="N58" t="inlineStr">
        <is>
          <t>57/270</t>
        </is>
      </c>
      <c r="O58" t="n">
        <v>21.11</v>
      </c>
      <c r="P58" t="inlineStr">
        <is>
          <t>48/270</t>
        </is>
      </c>
      <c r="Q58" t="n">
        <v>17.78</v>
      </c>
      <c r="R58" t="inlineStr">
        <is>
          <t>44/270</t>
        </is>
      </c>
      <c r="S58" t="n">
        <v>16.3</v>
      </c>
      <c r="T58" t="inlineStr">
        <is>
          <t>24/27</t>
        </is>
      </c>
      <c r="U58" t="n">
        <v>88.89</v>
      </c>
      <c r="V58" t="inlineStr">
        <is>
          <t>23/27</t>
        </is>
      </c>
      <c r="W58" t="n">
        <v>85.19</v>
      </c>
      <c r="X58" t="n">
        <v>34706</v>
      </c>
      <c r="Y58" t="n">
        <v>3172</v>
      </c>
      <c r="Z58" t="n">
        <v>37878</v>
      </c>
      <c r="AA58" t="n">
        <v>2384</v>
      </c>
      <c r="AB58" t="n">
        <v>229</v>
      </c>
      <c r="AC58" t="n">
        <v>2785</v>
      </c>
      <c r="AD58" t="n">
        <v>39</v>
      </c>
      <c r="AE58" t="n">
        <v>4</v>
      </c>
      <c r="AF58" t="n">
        <v>43</v>
      </c>
      <c r="AG58" t="n">
        <v>128.54</v>
      </c>
      <c r="AH58" t="n">
        <v>11.75</v>
      </c>
      <c r="AI58" t="n">
        <v>11.75</v>
      </c>
      <c r="AJ58" t="n">
        <v>10.31</v>
      </c>
      <c r="AK58" t="n">
        <v>0.85</v>
      </c>
      <c r="AL58" t="n">
        <v>0.85</v>
      </c>
      <c r="AM58" t="n">
        <v>0.14</v>
      </c>
      <c r="AN58" t="n">
        <v>0.01</v>
      </c>
      <c r="AO58" t="n">
        <v>0.16</v>
      </c>
      <c r="AP58" t="n">
        <v>128.14</v>
      </c>
      <c r="AQ58" s="12" t="n">
        <v>141369300000</v>
      </c>
      <c r="AR58" s="12" t="n">
        <v>182717221100</v>
      </c>
      <c r="AS58">
        <f>HYPERLINK("https://github.com/lottpicker/daily1689/blob/main/summary-v62.txt", "Click view")</f>
        <v/>
      </c>
    </row>
    <row r="59">
      <c r="A59" t="n">
        <v>63</v>
      </c>
      <c r="B59" t="inlineStr">
        <is>
          <t>100-369</t>
        </is>
      </c>
      <c r="C59" t="inlineStr">
        <is>
          <t>270</t>
        </is>
      </c>
      <c r="D59" t="n">
        <v>135.85</v>
      </c>
      <c r="E59" s="12" t="n">
        <v>50677656300</v>
      </c>
      <c r="F59" t="n">
        <v>40738</v>
      </c>
      <c r="G59" t="n">
        <v>3323</v>
      </c>
      <c r="H59" t="inlineStr">
        <is>
          <t>93/270</t>
        </is>
      </c>
      <c r="I59" t="n">
        <v>34.44</v>
      </c>
      <c r="J59" t="inlineStr">
        <is>
          <t>169/270</t>
        </is>
      </c>
      <c r="K59" t="n">
        <v>62.59</v>
      </c>
      <c r="L59" t="inlineStr">
        <is>
          <t>90/270</t>
        </is>
      </c>
      <c r="M59" t="n">
        <v>33.33</v>
      </c>
      <c r="N59" t="inlineStr">
        <is>
          <t>64/270</t>
        </is>
      </c>
      <c r="O59" s="42" t="n">
        <v>23.7</v>
      </c>
      <c r="P59" t="inlineStr">
        <is>
          <t>54/270</t>
        </is>
      </c>
      <c r="Q59" t="n">
        <v>20</v>
      </c>
      <c r="R59" t="inlineStr">
        <is>
          <t>52/270</t>
        </is>
      </c>
      <c r="S59" t="n">
        <v>19.26</v>
      </c>
      <c r="T59" t="inlineStr">
        <is>
          <t>26/27</t>
        </is>
      </c>
      <c r="U59" t="n">
        <v>96.3</v>
      </c>
      <c r="V59" t="inlineStr">
        <is>
          <t>24/27</t>
        </is>
      </c>
      <c r="W59" t="n">
        <v>88.89</v>
      </c>
      <c r="X59" t="n">
        <v>34784</v>
      </c>
      <c r="Y59" t="n">
        <v>3100</v>
      </c>
      <c r="Z59" t="n">
        <v>37884</v>
      </c>
      <c r="AA59" t="n">
        <v>2377</v>
      </c>
      <c r="AB59" t="n">
        <v>217</v>
      </c>
      <c r="AC59" t="n">
        <v>2802</v>
      </c>
      <c r="AD59" t="n">
        <v>46</v>
      </c>
      <c r="AE59" t="n">
        <v>6</v>
      </c>
      <c r="AF59" t="n">
        <v>52</v>
      </c>
      <c r="AG59" t="n">
        <v>128.83</v>
      </c>
      <c r="AH59" t="n">
        <v>11.48</v>
      </c>
      <c r="AI59" t="n">
        <v>11.48</v>
      </c>
      <c r="AJ59" t="n">
        <v>10.38</v>
      </c>
      <c r="AK59" t="n">
        <v>0.8</v>
      </c>
      <c r="AL59" t="n">
        <v>0.8</v>
      </c>
      <c r="AM59" t="n">
        <v>0.17</v>
      </c>
      <c r="AN59" t="n">
        <v>0.02</v>
      </c>
      <c r="AO59" t="n">
        <v>0.19</v>
      </c>
      <c r="AP59" t="n">
        <v>128.44</v>
      </c>
      <c r="AQ59" s="12" t="n">
        <v>141369300000</v>
      </c>
      <c r="AR59" s="12" t="n">
        <v>192046956300</v>
      </c>
      <c r="AS59">
        <f>HYPERLINK("https://github.com/lottpicker/daily1689/blob/main/summary-v63.txt", "Click view")</f>
        <v/>
      </c>
    </row>
    <row r="60">
      <c r="A60" t="n">
        <v>64</v>
      </c>
      <c r="B60" t="inlineStr">
        <is>
          <t>100-369</t>
        </is>
      </c>
      <c r="C60" t="inlineStr">
        <is>
          <t>270</t>
        </is>
      </c>
      <c r="D60" t="n">
        <v>137.56</v>
      </c>
      <c r="E60" s="12" t="n">
        <v>53092365700</v>
      </c>
      <c r="F60" t="n">
        <v>40738</v>
      </c>
      <c r="G60" t="n">
        <v>3373</v>
      </c>
      <c r="H60" t="inlineStr">
        <is>
          <t>90/270</t>
        </is>
      </c>
      <c r="I60" t="n">
        <v>33.33</v>
      </c>
      <c r="J60" t="inlineStr">
        <is>
          <t>175/270</t>
        </is>
      </c>
      <c r="K60" t="n">
        <v>64.81</v>
      </c>
      <c r="L60" t="inlineStr">
        <is>
          <t>104/270</t>
        </is>
      </c>
      <c r="M60" s="13" t="n">
        <v>38.52</v>
      </c>
      <c r="N60" t="inlineStr">
        <is>
          <t>67/270</t>
        </is>
      </c>
      <c r="O60" s="42" t="n">
        <v>24.81</v>
      </c>
      <c r="P60" t="inlineStr">
        <is>
          <t>58/270</t>
        </is>
      </c>
      <c r="Q60" s="49" t="n">
        <v>21.48</v>
      </c>
      <c r="R60" t="inlineStr">
        <is>
          <t>52/270</t>
        </is>
      </c>
      <c r="S60" t="n">
        <v>19.26</v>
      </c>
      <c r="T60" t="inlineStr">
        <is>
          <t>26/27</t>
        </is>
      </c>
      <c r="U60" t="n">
        <v>96.3</v>
      </c>
      <c r="V60" t="inlineStr">
        <is>
          <t>25/27</t>
        </is>
      </c>
      <c r="W60" t="n">
        <v>92.59</v>
      </c>
      <c r="X60" t="n">
        <v>34751</v>
      </c>
      <c r="Y60" t="n">
        <v>3133</v>
      </c>
      <c r="Z60" t="n">
        <v>37884</v>
      </c>
      <c r="AA60" t="n">
        <v>2363</v>
      </c>
      <c r="AB60" t="n">
        <v>231</v>
      </c>
      <c r="AC60" t="n">
        <v>2802</v>
      </c>
      <c r="AD60" t="n">
        <v>43</v>
      </c>
      <c r="AE60" t="n">
        <v>9</v>
      </c>
      <c r="AF60" t="n">
        <v>52</v>
      </c>
      <c r="AG60" t="n">
        <v>128.71</v>
      </c>
      <c r="AH60" t="n">
        <v>11.6</v>
      </c>
      <c r="AI60" t="n">
        <v>11.6</v>
      </c>
      <c r="AJ60" t="n">
        <v>10.38</v>
      </c>
      <c r="AK60" t="n">
        <v>0.86</v>
      </c>
      <c r="AL60" t="n">
        <v>0.86</v>
      </c>
      <c r="AM60" t="n">
        <v>0.16</v>
      </c>
      <c r="AN60" t="n">
        <v>0.03</v>
      </c>
      <c r="AO60" t="n">
        <v>0.19</v>
      </c>
      <c r="AP60" t="n">
        <v>128.26</v>
      </c>
      <c r="AQ60" s="12" t="n">
        <v>141369300000</v>
      </c>
      <c r="AR60" s="12" t="n">
        <v>194461665700</v>
      </c>
      <c r="AS60">
        <f>HYPERLINK("https://github.com/lottpicker/daily1689/blob/main/summary-v64.txt", "Click view")</f>
        <v/>
      </c>
    </row>
    <row r="61">
      <c r="A61" t="n">
        <v>65</v>
      </c>
      <c r="B61" t="inlineStr">
        <is>
          <t>100-369</t>
        </is>
      </c>
      <c r="C61" t="inlineStr">
        <is>
          <t>270</t>
        </is>
      </c>
      <c r="D61" t="n">
        <v>134.96</v>
      </c>
      <c r="E61" s="12" t="n">
        <v>49416602200</v>
      </c>
      <c r="F61" t="n">
        <v>40738</v>
      </c>
      <c r="G61" t="n">
        <v>3394</v>
      </c>
      <c r="H61" t="inlineStr">
        <is>
          <t>98/270</t>
        </is>
      </c>
      <c r="I61" t="n">
        <v>36.3</v>
      </c>
      <c r="J61" t="inlineStr">
        <is>
          <t>166/270</t>
        </is>
      </c>
      <c r="K61" t="n">
        <v>61.48</v>
      </c>
      <c r="L61" t="inlineStr">
        <is>
          <t>102/270</t>
        </is>
      </c>
      <c r="M61" t="n">
        <v>37.78</v>
      </c>
      <c r="N61" t="inlineStr">
        <is>
          <t>61/270</t>
        </is>
      </c>
      <c r="O61" s="42" t="n">
        <v>22.59</v>
      </c>
      <c r="P61" t="inlineStr">
        <is>
          <t>55/270</t>
        </is>
      </c>
      <c r="Q61" t="n">
        <v>20.37</v>
      </c>
      <c r="R61" t="inlineStr">
        <is>
          <t>52/270</t>
        </is>
      </c>
      <c r="S61" t="n">
        <v>19.26</v>
      </c>
      <c r="T61" t="inlineStr">
        <is>
          <t>25/27</t>
        </is>
      </c>
      <c r="U61" t="n">
        <v>92.59</v>
      </c>
      <c r="V61" t="inlineStr">
        <is>
          <t>24/27</t>
        </is>
      </c>
      <c r="W61" t="n">
        <v>88.89</v>
      </c>
      <c r="X61" t="n">
        <v>34700</v>
      </c>
      <c r="Y61" t="n">
        <v>3184</v>
      </c>
      <c r="Z61" t="n">
        <v>37884</v>
      </c>
      <c r="AA61" t="n">
        <v>2388</v>
      </c>
      <c r="AB61" t="n">
        <v>206</v>
      </c>
      <c r="AC61" t="n">
        <v>2802</v>
      </c>
      <c r="AD61" t="n">
        <v>48</v>
      </c>
      <c r="AE61" t="n">
        <v>4</v>
      </c>
      <c r="AF61" t="n">
        <v>52</v>
      </c>
      <c r="AG61" t="n">
        <v>128.52</v>
      </c>
      <c r="AH61" t="n">
        <v>11.79</v>
      </c>
      <c r="AI61" t="n">
        <v>11.79</v>
      </c>
      <c r="AJ61" t="n">
        <v>10.38</v>
      </c>
      <c r="AK61" t="n">
        <v>0.76</v>
      </c>
      <c r="AL61" t="n">
        <v>0.76</v>
      </c>
      <c r="AM61" t="n">
        <v>0.18</v>
      </c>
      <c r="AN61" t="n">
        <v>0.01</v>
      </c>
      <c r="AO61" t="n">
        <v>0.19</v>
      </c>
      <c r="AP61" t="n">
        <v>128.18</v>
      </c>
      <c r="AQ61" s="12" t="n">
        <v>141369300000</v>
      </c>
      <c r="AR61" s="12" t="n">
        <v>190785902200</v>
      </c>
      <c r="AS61">
        <f>HYPERLINK("https://github.com/lottpicker/daily1689/blob/main/summary-v65.txt", "Click view")</f>
        <v/>
      </c>
    </row>
    <row r="62">
      <c r="A62" t="n">
        <v>66</v>
      </c>
      <c r="B62" t="inlineStr">
        <is>
          <t>100-369</t>
        </is>
      </c>
      <c r="C62" t="inlineStr">
        <is>
          <t>270</t>
        </is>
      </c>
      <c r="D62" t="n">
        <v>137.83</v>
      </c>
      <c r="E62" s="12" t="n">
        <v>53476564700</v>
      </c>
      <c r="F62" t="n">
        <v>40738</v>
      </c>
      <c r="G62" t="n">
        <v>3428</v>
      </c>
      <c r="H62" t="inlineStr">
        <is>
          <t>74/270</t>
        </is>
      </c>
      <c r="I62" s="53" t="n">
        <v>27.41</v>
      </c>
      <c r="J62" t="inlineStr">
        <is>
          <t>187/270</t>
        </is>
      </c>
      <c r="K62" t="n">
        <v>69.26000000000001</v>
      </c>
      <c r="L62" t="inlineStr">
        <is>
          <t>91/270</t>
        </is>
      </c>
      <c r="M62" s="54" t="n">
        <v>33.7</v>
      </c>
      <c r="N62" t="inlineStr">
        <is>
          <t>58/270</t>
        </is>
      </c>
      <c r="O62" s="54" t="n">
        <v>21.48</v>
      </c>
      <c r="P62" t="inlineStr">
        <is>
          <t>52/270</t>
        </is>
      </c>
      <c r="Q62" t="n">
        <v>19.26</v>
      </c>
      <c r="R62" t="inlineStr">
        <is>
          <t>52/270</t>
        </is>
      </c>
      <c r="S62" t="n">
        <v>19.26</v>
      </c>
      <c r="T62" t="inlineStr">
        <is>
          <t>26/27</t>
        </is>
      </c>
      <c r="U62" t="n">
        <v>96.3</v>
      </c>
      <c r="V62" t="inlineStr">
        <is>
          <t>24/27</t>
        </is>
      </c>
      <c r="W62" t="n">
        <v>88.89</v>
      </c>
      <c r="X62" t="n">
        <v>34689</v>
      </c>
      <c r="Y62" t="n">
        <v>3195</v>
      </c>
      <c r="Z62" t="n">
        <v>37884</v>
      </c>
      <c r="AA62" t="n">
        <v>2363</v>
      </c>
      <c r="AB62" t="n">
        <v>231</v>
      </c>
      <c r="AC62" t="n">
        <v>2802</v>
      </c>
      <c r="AD62" t="n">
        <v>50</v>
      </c>
      <c r="AE62" t="n">
        <v>2</v>
      </c>
      <c r="AF62" t="n">
        <v>52</v>
      </c>
      <c r="AG62" t="n">
        <v>128.48</v>
      </c>
      <c r="AH62" t="n">
        <v>11.83</v>
      </c>
      <c r="AI62" t="n">
        <v>11.83</v>
      </c>
      <c r="AJ62" t="n">
        <v>10.38</v>
      </c>
      <c r="AK62" t="n">
        <v>0.86</v>
      </c>
      <c r="AL62" t="n">
        <v>0.86</v>
      </c>
      <c r="AM62" t="n">
        <v>0.19</v>
      </c>
      <c r="AN62" t="n">
        <v>0.01</v>
      </c>
      <c r="AO62" t="n">
        <v>0.19</v>
      </c>
      <c r="AP62" t="n">
        <v>128.05</v>
      </c>
      <c r="AQ62" s="12" t="n">
        <v>141369300000</v>
      </c>
      <c r="AR62" s="12" t="n">
        <v>194845864700</v>
      </c>
      <c r="AS62">
        <f>HYPERLINK("https://github.com/lottpicker/daily1689/blob/main/summary-v66.txt", "Click view")</f>
        <v/>
      </c>
    </row>
    <row r="63">
      <c r="A63" s="27" t="n">
        <v>67</v>
      </c>
      <c r="B63" t="inlineStr">
        <is>
          <t>100-369</t>
        </is>
      </c>
      <c r="C63" t="inlineStr">
        <is>
          <t>270</t>
        </is>
      </c>
      <c r="D63" s="13" t="n">
        <v>147.69</v>
      </c>
      <c r="E63" s="16" t="n">
        <v>67423731200</v>
      </c>
      <c r="F63" t="n">
        <v>40837</v>
      </c>
      <c r="G63" s="13" t="n">
        <v>3698</v>
      </c>
      <c r="H63" t="inlineStr">
        <is>
          <t>97/270</t>
        </is>
      </c>
      <c r="I63" t="n">
        <v>35.93</v>
      </c>
      <c r="J63" t="inlineStr">
        <is>
          <t>157/270</t>
        </is>
      </c>
      <c r="K63" t="n">
        <v>58.15</v>
      </c>
      <c r="L63" t="inlineStr">
        <is>
          <t>111/270</t>
        </is>
      </c>
      <c r="M63" s="13" t="n">
        <v>41.11</v>
      </c>
      <c r="N63" t="inlineStr">
        <is>
          <t>94/270</t>
        </is>
      </c>
      <c r="O63" s="22" t="n">
        <v>34.81</v>
      </c>
      <c r="P63" t="inlineStr">
        <is>
          <t>83/270</t>
        </is>
      </c>
      <c r="Q63" s="13" t="n">
        <v>30.74</v>
      </c>
      <c r="R63" t="inlineStr">
        <is>
          <t>70/270</t>
        </is>
      </c>
      <c r="S63" t="n">
        <v>25.93</v>
      </c>
      <c r="T63" t="inlineStr">
        <is>
          <t>27/27</t>
        </is>
      </c>
      <c r="U63" s="13" t="n">
        <v>100</v>
      </c>
      <c r="V63" t="inlineStr">
        <is>
          <t>25/27</t>
        </is>
      </c>
      <c r="W63" t="n">
        <v>92.59</v>
      </c>
      <c r="X63" t="n">
        <v>34535</v>
      </c>
      <c r="Y63" t="n">
        <v>3454</v>
      </c>
      <c r="Z63" t="n">
        <v>37989</v>
      </c>
      <c r="AA63" t="n">
        <v>2308</v>
      </c>
      <c r="AB63" t="n">
        <v>240</v>
      </c>
      <c r="AC63" t="n">
        <v>2788</v>
      </c>
      <c r="AD63" t="n">
        <v>56</v>
      </c>
      <c r="AE63" t="n">
        <v>4</v>
      </c>
      <c r="AF63" s="13" t="n">
        <v>60</v>
      </c>
      <c r="AG63" t="n">
        <v>127.91</v>
      </c>
      <c r="AH63" t="n">
        <v>12.79</v>
      </c>
      <c r="AI63" t="n">
        <v>12.79</v>
      </c>
      <c r="AJ63" t="n">
        <v>10.33</v>
      </c>
      <c r="AK63" t="n">
        <v>0.89</v>
      </c>
      <c r="AL63" t="n">
        <v>0.89</v>
      </c>
      <c r="AM63" t="n">
        <v>0.21</v>
      </c>
      <c r="AN63" t="n">
        <v>0.01</v>
      </c>
      <c r="AO63" s="13" t="n">
        <v>0.22</v>
      </c>
      <c r="AP63" s="13" t="n">
        <v>139</v>
      </c>
      <c r="AQ63" s="12" t="n">
        <v>141369300000</v>
      </c>
      <c r="AR63" s="16" t="n">
        <v>208793031200</v>
      </c>
      <c r="AS63">
        <f>HYPERLINK("https://github.com/lottpicker/daily1689/blob/main/summary-v67.txt", "Click view")</f>
        <v/>
      </c>
    </row>
    <row r="64">
      <c r="A64" t="n">
        <v>68</v>
      </c>
      <c r="B64" t="inlineStr">
        <is>
          <t>100-369</t>
        </is>
      </c>
      <c r="C64" t="inlineStr">
        <is>
          <t>270</t>
        </is>
      </c>
      <c r="D64" t="n">
        <v>130.89</v>
      </c>
      <c r="E64" s="12" t="n">
        <v>43667442000</v>
      </c>
      <c r="F64" t="n">
        <v>40728</v>
      </c>
      <c r="G64" t="n">
        <v>3352</v>
      </c>
      <c r="H64" t="inlineStr">
        <is>
          <t>100/270</t>
        </is>
      </c>
      <c r="I64" t="n">
        <v>37.04</v>
      </c>
      <c r="J64" t="inlineStr">
        <is>
          <t>167/270</t>
        </is>
      </c>
      <c r="K64" t="n">
        <v>61.85</v>
      </c>
      <c r="L64" t="inlineStr">
        <is>
          <t>95/270</t>
        </is>
      </c>
      <c r="M64" t="n">
        <v>35.19</v>
      </c>
      <c r="N64" t="inlineStr">
        <is>
          <t>55/270</t>
        </is>
      </c>
      <c r="O64" t="n">
        <v>20.37</v>
      </c>
      <c r="P64" t="inlineStr">
        <is>
          <t>49/270</t>
        </is>
      </c>
      <c r="Q64" t="n">
        <v>18.15</v>
      </c>
      <c r="R64" t="inlineStr">
        <is>
          <t>47/270</t>
        </is>
      </c>
      <c r="S64" t="n">
        <v>17.41</v>
      </c>
      <c r="T64" t="inlineStr">
        <is>
          <t>25/27</t>
        </is>
      </c>
      <c r="U64" t="n">
        <v>92.59</v>
      </c>
      <c r="V64" t="inlineStr">
        <is>
          <t>23/27</t>
        </is>
      </c>
      <c r="W64" t="n">
        <v>85.19</v>
      </c>
      <c r="X64" t="n">
        <v>34748</v>
      </c>
      <c r="Y64" t="n">
        <v>3138</v>
      </c>
      <c r="Z64" t="n">
        <v>37886</v>
      </c>
      <c r="AA64" t="n">
        <v>2395</v>
      </c>
      <c r="AB64" t="n">
        <v>212</v>
      </c>
      <c r="AC64" t="n">
        <v>2795</v>
      </c>
      <c r="AD64" t="n">
        <v>45</v>
      </c>
      <c r="AE64" t="n">
        <v>2</v>
      </c>
      <c r="AF64" t="n">
        <v>47</v>
      </c>
      <c r="AG64" t="n">
        <v>128.7</v>
      </c>
      <c r="AH64" t="n">
        <v>11.62</v>
      </c>
      <c r="AI64" t="n">
        <v>11.62</v>
      </c>
      <c r="AJ64" t="n">
        <v>10.35</v>
      </c>
      <c r="AK64" t="n">
        <v>0.79</v>
      </c>
      <c r="AL64" t="n">
        <v>0.79</v>
      </c>
      <c r="AM64" t="n">
        <v>0.17</v>
      </c>
      <c r="AN64" t="n">
        <v>0.01</v>
      </c>
      <c r="AO64" t="n">
        <v>0.17</v>
      </c>
      <c r="AP64" t="n">
        <v>128.31</v>
      </c>
      <c r="AQ64" s="12" t="n">
        <v>141369300000</v>
      </c>
      <c r="AR64" s="12" t="n">
        <v>185036742000</v>
      </c>
      <c r="AS64">
        <f>HYPERLINK("https://github.com/lottpicker/daily1689/blob/main/summary-v68.txt", "Click view")</f>
        <v/>
      </c>
    </row>
    <row r="65">
      <c r="A65" s="27" t="n">
        <v>69</v>
      </c>
      <c r="B65" t="inlineStr">
        <is>
          <t>100-369</t>
        </is>
      </c>
      <c r="C65" t="inlineStr">
        <is>
          <t>270</t>
        </is>
      </c>
      <c r="D65" s="13" t="n">
        <v>145.57</v>
      </c>
      <c r="E65" s="16" t="n">
        <v>64420663000</v>
      </c>
      <c r="F65" t="n">
        <v>40809</v>
      </c>
      <c r="G65" t="n">
        <v>3750</v>
      </c>
      <c r="H65" t="inlineStr">
        <is>
          <t>103/270</t>
        </is>
      </c>
      <c r="I65" t="n">
        <v>38.15</v>
      </c>
      <c r="J65" t="inlineStr">
        <is>
          <t>156/270</t>
        </is>
      </c>
      <c r="K65" t="n">
        <v>57.78</v>
      </c>
      <c r="L65" t="inlineStr">
        <is>
          <t>109/270</t>
        </is>
      </c>
      <c r="M65" s="13" t="n">
        <v>40.37</v>
      </c>
      <c r="N65" t="inlineStr">
        <is>
          <t>94/270</t>
        </is>
      </c>
      <c r="O65" s="22" t="n">
        <v>34.81</v>
      </c>
      <c r="P65" t="inlineStr">
        <is>
          <t>85/270</t>
        </is>
      </c>
      <c r="Q65" s="13" t="n">
        <v>31.48</v>
      </c>
      <c r="R65" t="inlineStr">
        <is>
          <t>67/270</t>
        </is>
      </c>
      <c r="S65" t="n">
        <v>24.81</v>
      </c>
      <c r="T65" t="inlineStr">
        <is>
          <t>27/27</t>
        </is>
      </c>
      <c r="U65" s="13" t="n">
        <v>100</v>
      </c>
      <c r="V65" t="inlineStr">
        <is>
          <t>27/27</t>
        </is>
      </c>
      <c r="W65" s="13" t="n">
        <v>100</v>
      </c>
      <c r="X65" t="n">
        <v>34460</v>
      </c>
      <c r="Y65" t="n">
        <v>3500</v>
      </c>
      <c r="Z65" t="n">
        <v>37960</v>
      </c>
      <c r="AA65" t="n">
        <v>2320</v>
      </c>
      <c r="AB65" t="n">
        <v>244</v>
      </c>
      <c r="AC65" t="n">
        <v>2792</v>
      </c>
      <c r="AD65" t="n">
        <v>51</v>
      </c>
      <c r="AE65" t="n">
        <v>6</v>
      </c>
      <c r="AF65" t="n">
        <v>57</v>
      </c>
      <c r="AG65" t="n">
        <v>127.63</v>
      </c>
      <c r="AH65" t="n">
        <v>12.96</v>
      </c>
      <c r="AI65" t="n">
        <v>12.96</v>
      </c>
      <c r="AJ65" t="n">
        <v>10.34</v>
      </c>
      <c r="AK65" t="n">
        <v>0.9</v>
      </c>
      <c r="AL65" t="n">
        <v>0.9</v>
      </c>
      <c r="AM65" t="n">
        <v>0.19</v>
      </c>
      <c r="AN65" t="n">
        <v>0.02</v>
      </c>
      <c r="AO65" t="n">
        <v>0.21</v>
      </c>
      <c r="AP65" t="n">
        <v>137.22</v>
      </c>
      <c r="AQ65" t="n">
        <v>141369300000</v>
      </c>
      <c r="AR65" t="n">
        <v>205789963000</v>
      </c>
      <c r="AS65">
        <f>HYPERLINK("https://github.com/lottpicker/daily1689/blob/main/summary-v69.txt", "Click view")</f>
        <v/>
      </c>
    </row>
    <row r="66">
      <c r="A66" s="27" t="n">
        <v>70</v>
      </c>
      <c r="B66" t="inlineStr">
        <is>
          <t>100-369</t>
        </is>
      </c>
      <c r="C66" t="inlineStr">
        <is>
          <t>270</t>
        </is>
      </c>
      <c r="D66" s="13" t="n">
        <v>143.95</v>
      </c>
      <c r="E66" s="16" t="n">
        <v>62136608600</v>
      </c>
      <c r="F66" t="n">
        <v>40837</v>
      </c>
      <c r="G66" t="n">
        <v>3387</v>
      </c>
      <c r="H66" t="inlineStr">
        <is>
          <t>80/270</t>
        </is>
      </c>
      <c r="I66" s="53" t="n">
        <v>29.63</v>
      </c>
      <c r="J66" t="inlineStr">
        <is>
          <t>186/270</t>
        </is>
      </c>
      <c r="K66" t="n">
        <v>68.89</v>
      </c>
      <c r="L66" t="inlineStr">
        <is>
          <t>104/270</t>
        </is>
      </c>
      <c r="M66" s="13" t="n">
        <v>38.52</v>
      </c>
      <c r="N66" t="inlineStr">
        <is>
          <t>70/270</t>
        </is>
      </c>
      <c r="O66" s="42" t="n">
        <v>25.93</v>
      </c>
      <c r="P66" t="inlineStr">
        <is>
          <t>63/270</t>
        </is>
      </c>
      <c r="Q66" s="49" t="n">
        <v>23.33</v>
      </c>
      <c r="R66" t="inlineStr">
        <is>
          <t>60/270</t>
        </is>
      </c>
      <c r="S66" t="n">
        <v>22.22</v>
      </c>
      <c r="T66" t="inlineStr">
        <is>
          <t>26/27</t>
        </is>
      </c>
      <c r="U66" t="n">
        <v>96.3</v>
      </c>
      <c r="V66" t="inlineStr">
        <is>
          <t>26/27</t>
        </is>
      </c>
      <c r="W66" t="n">
        <v>96.3</v>
      </c>
      <c r="X66" t="n">
        <v>34833</v>
      </c>
      <c r="Y66" t="n">
        <v>3156</v>
      </c>
      <c r="Z66" t="n">
        <v>37989</v>
      </c>
      <c r="AA66" t="n">
        <v>2324</v>
      </c>
      <c r="AB66" t="n">
        <v>224</v>
      </c>
      <c r="AC66" t="n">
        <v>2788</v>
      </c>
      <c r="AD66" t="n">
        <v>53</v>
      </c>
      <c r="AE66" t="n">
        <v>7</v>
      </c>
      <c r="AF66" s="13" t="n">
        <v>60</v>
      </c>
      <c r="AG66" t="n">
        <v>129.01</v>
      </c>
      <c r="AH66" t="n">
        <v>11.69</v>
      </c>
      <c r="AI66" t="n">
        <v>11.69</v>
      </c>
      <c r="AJ66" t="n">
        <v>10.33</v>
      </c>
      <c r="AK66" t="n">
        <v>0.83</v>
      </c>
      <c r="AL66" t="n">
        <v>0.83</v>
      </c>
      <c r="AM66" t="n">
        <v>0.2</v>
      </c>
      <c r="AN66" t="n">
        <v>0.03</v>
      </c>
      <c r="AO66" t="n">
        <v>0.22</v>
      </c>
      <c r="AP66" t="n">
        <v>128.26</v>
      </c>
      <c r="AQ66" s="12" t="n">
        <v>141369300000</v>
      </c>
      <c r="AR66" s="16" t="n">
        <v>203505908600</v>
      </c>
      <c r="AS66">
        <f>HYPERLINK("https://github.com/lottpicker/daily1689/blob/main/summary-v70.txt", "Click view")</f>
        <v/>
      </c>
    </row>
    <row r="67">
      <c r="A67" s="27" t="n">
        <v>71</v>
      </c>
      <c r="B67" t="inlineStr">
        <is>
          <t>100-369</t>
        </is>
      </c>
      <c r="C67" t="inlineStr">
        <is>
          <t>270</t>
        </is>
      </c>
      <c r="D67" s="13" t="n">
        <v>141.25</v>
      </c>
      <c r="E67" s="16" t="n">
        <v>58314489400</v>
      </c>
      <c r="F67" t="n">
        <v>40837</v>
      </c>
      <c r="G67" t="n">
        <v>3312</v>
      </c>
      <c r="H67" t="inlineStr">
        <is>
          <t>75/270</t>
        </is>
      </c>
      <c r="I67" s="53" t="n">
        <v>27.78</v>
      </c>
      <c r="J67" t="inlineStr">
        <is>
          <t>188/270</t>
        </is>
      </c>
      <c r="K67" s="13" t="n">
        <v>69.63</v>
      </c>
      <c r="L67" t="inlineStr">
        <is>
          <t>95/270</t>
        </is>
      </c>
      <c r="M67" t="n">
        <v>35.19</v>
      </c>
      <c r="N67" t="inlineStr">
        <is>
          <t>63/270</t>
        </is>
      </c>
      <c r="O67" s="42" t="n">
        <v>23.33</v>
      </c>
      <c r="P67" t="inlineStr">
        <is>
          <t>61/270</t>
        </is>
      </c>
      <c r="Q67" s="49" t="n">
        <v>22.59</v>
      </c>
      <c r="R67" t="inlineStr">
        <is>
          <t>60/270</t>
        </is>
      </c>
      <c r="S67" t="n">
        <v>22.22</v>
      </c>
      <c r="T67" t="inlineStr">
        <is>
          <t>27/27</t>
        </is>
      </c>
      <c r="U67" s="13" t="n">
        <v>100</v>
      </c>
      <c r="V67" t="inlineStr">
        <is>
          <t>27/27</t>
        </is>
      </c>
      <c r="W67" s="13" t="n">
        <v>100</v>
      </c>
      <c r="X67" t="n">
        <v>34886</v>
      </c>
      <c r="Y67" t="n">
        <v>3103</v>
      </c>
      <c r="Z67" t="n">
        <v>37989</v>
      </c>
      <c r="AA67" t="n">
        <v>2346</v>
      </c>
      <c r="AB67" t="n">
        <v>202</v>
      </c>
      <c r="AC67" t="n">
        <v>2788</v>
      </c>
      <c r="AD67" t="n">
        <v>53</v>
      </c>
      <c r="AE67" t="n">
        <v>7</v>
      </c>
      <c r="AF67" s="13" t="n">
        <v>60</v>
      </c>
      <c r="AG67" t="n">
        <v>129.21</v>
      </c>
      <c r="AH67" t="n">
        <v>11.49</v>
      </c>
      <c r="AI67" t="n">
        <v>11.49</v>
      </c>
      <c r="AJ67" t="n">
        <v>10.33</v>
      </c>
      <c r="AK67" t="n">
        <v>0.75</v>
      </c>
      <c r="AL67" t="n">
        <v>0.75</v>
      </c>
      <c r="AM67" t="n">
        <v>0.2</v>
      </c>
      <c r="AN67" t="n">
        <v>0.03</v>
      </c>
      <c r="AO67" t="n">
        <v>0.22</v>
      </c>
      <c r="AP67" t="n">
        <v>128.49</v>
      </c>
      <c r="AQ67" s="12" t="n">
        <v>141369300000</v>
      </c>
      <c r="AR67" s="16" t="n">
        <v>199683789400</v>
      </c>
      <c r="AS67">
        <f>HYPERLINK("https://github.com/lottpicker/daily1689/blob/main/summary-v71.txt", "Click view")</f>
        <v/>
      </c>
    </row>
    <row r="68">
      <c r="A68" t="n">
        <v>72</v>
      </c>
    </row>
    <row r="69">
      <c r="A69" t="n">
        <v>73</v>
      </c>
    </row>
    <row r="70">
      <c r="A70" t="n">
        <v>74</v>
      </c>
    </row>
    <row r="71">
      <c r="A71" t="n">
        <v>75</v>
      </c>
    </row>
    <row r="72">
      <c r="A72" t="n">
        <v>76</v>
      </c>
    </row>
    <row r="73">
      <c r="A73" t="n">
        <v>77</v>
      </c>
    </row>
    <row r="74">
      <c r="A74" t="n">
        <v>78</v>
      </c>
    </row>
    <row r="75">
      <c r="A75" t="n">
        <v>79</v>
      </c>
    </row>
    <row r="76">
      <c r="A76" t="n">
        <v>80</v>
      </c>
    </row>
    <row r="77">
      <c r="A77" t="n">
        <v>81</v>
      </c>
    </row>
    <row r="78">
      <c r="A78" t="n">
        <v>82</v>
      </c>
    </row>
    <row r="79">
      <c r="A79" t="n">
        <v>83</v>
      </c>
    </row>
    <row r="80">
      <c r="A80" t="n">
        <v>84</v>
      </c>
    </row>
    <row r="81">
      <c r="A81" t="n">
        <v>85</v>
      </c>
    </row>
    <row r="82">
      <c r="A82" t="n">
        <v>86</v>
      </c>
    </row>
    <row r="83">
      <c r="A83" t="n">
        <v>87</v>
      </c>
    </row>
    <row r="84">
      <c r="A84" t="n">
        <v>88</v>
      </c>
    </row>
    <row r="85">
      <c r="A85" t="n">
        <v>89</v>
      </c>
    </row>
    <row r="86">
      <c r="A86" t="n">
        <v>90</v>
      </c>
    </row>
    <row r="87">
      <c r="A87" t="n">
        <v>91</v>
      </c>
    </row>
    <row r="88">
      <c r="A88" t="n">
        <v>92</v>
      </c>
    </row>
    <row r="89">
      <c r="A89" t="n">
        <v>93</v>
      </c>
    </row>
    <row r="90">
      <c r="A90" t="n">
        <v>94</v>
      </c>
    </row>
    <row r="91">
      <c r="A91" t="n">
        <v>95</v>
      </c>
    </row>
    <row r="92">
      <c r="A92" t="n">
        <v>96</v>
      </c>
    </row>
    <row r="93">
      <c r="A93" t="n">
        <v>97</v>
      </c>
    </row>
    <row r="94">
      <c r="A94" t="n">
        <v>98</v>
      </c>
    </row>
    <row r="95">
      <c r="A95" t="n">
        <v>99</v>
      </c>
    </row>
    <row r="96">
      <c r="A96" t="n">
        <v>100</v>
      </c>
    </row>
    <row r="97">
      <c r="A97" t="n">
        <v>101</v>
      </c>
    </row>
    <row r="98">
      <c r="A98" t="n">
        <v>102</v>
      </c>
    </row>
    <row r="99">
      <c r="A99" t="n">
        <v>103</v>
      </c>
    </row>
    <row r="100">
      <c r="A100" t="n">
        <v>104</v>
      </c>
    </row>
    <row r="101">
      <c r="A101" t="n">
        <v>105</v>
      </c>
    </row>
  </sheetData>
  <autoFilter ref="A2:AV2">
    <sortState ref="A3:AV101">
      <sortCondition ref="A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2026-01-07T14:54:20Z</dcterms:modified>
  <cp:lastModifiedBy>Admin</cp:lastModifiedBy>
</cp:coreProperties>
</file>