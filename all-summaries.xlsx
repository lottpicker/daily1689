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0" yWindow="720" windowWidth="27020" windowHeight="17510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'Sheet1'!$A$2:$AI$2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7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7" tint="0.5999938962981048"/>
      <sz val="11"/>
      <scheme val="minor"/>
    </font>
    <font>
      <name val="Calibri"/>
      <family val="2"/>
      <sz val="11"/>
      <scheme val="minor"/>
    </font>
    <font>
      <name val="Calibri"/>
      <family val="2"/>
      <color theme="7" tint="0.3999755851924192"/>
      <sz val="11"/>
      <scheme val="minor"/>
    </font>
    <font>
      <name val="Calibri"/>
      <family val="2"/>
      <color rgb="FFFFC000"/>
      <sz val="11"/>
      <scheme val="minor"/>
    </font>
  </fonts>
  <fills count="14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2" borderId="0" pivotButton="0" quotePrefix="0" xfId="0"/>
    <xf numFmtId="0" fontId="1" fillId="1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3" fillId="11" borderId="0" pivotButton="0" quotePrefix="0" xfId="0"/>
    <xf numFmtId="0" fontId="4" fillId="11" borderId="0" pivotButton="0" quotePrefix="0" xfId="0"/>
    <xf numFmtId="0" fontId="4" fillId="1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5" fillId="11" borderId="0" pivotButton="0" quotePrefix="0" xfId="0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0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6" fillId="11" borderId="0" pivotButton="0" quotePrefix="0" xfId="0"/>
    <xf numFmtId="0" fontId="1" fillId="7" borderId="0" applyAlignment="1" pivotButton="0" quotePrefix="0" xfId="0">
      <alignment horizontal="center" vertical="center"/>
    </xf>
    <xf numFmtId="164" fontId="2" fillId="0" borderId="0" applyAlignment="1" pivotButton="0" quotePrefix="0" xfId="1">
      <alignment horizontal="right"/>
    </xf>
    <xf numFmtId="164" fontId="2" fillId="0" borderId="0" applyAlignment="1" pivotButton="0" quotePrefix="1" xfId="1">
      <alignment horizontal="right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3"/>
  <sheetViews>
    <sheetView tabSelected="1" topLeftCell="G1" workbookViewId="0">
      <selection activeCell="AE10" sqref="AE10"/>
    </sheetView>
  </sheetViews>
  <sheetFormatPr baseColWidth="8" defaultRowHeight="14.5"/>
  <cols>
    <col width="9" customWidth="1" style="21" min="2" max="2"/>
    <col width="8.36328125" customWidth="1" style="21" min="3" max="3"/>
    <col width="16.453125" customWidth="1" style="21" min="4" max="4"/>
    <col width="11.6328125" customWidth="1" style="21" min="5" max="5"/>
    <col width="14.1796875" customWidth="1" style="21" min="6" max="6"/>
    <col width="8.453125" customWidth="1" style="21" min="7" max="7"/>
    <col width="6.453125" customWidth="1" style="21" min="8" max="15"/>
    <col width="8" customWidth="1" style="21" min="16" max="16"/>
    <col width="9" customWidth="1" style="21" min="17" max="17"/>
    <col width="9.1796875" customWidth="1" style="21" min="18" max="20"/>
    <col width="9.26953125" customWidth="1" style="21" min="21" max="25"/>
    <col width="9.26953125" customWidth="1" style="25" min="26" max="26"/>
    <col width="9.26953125" customWidth="1" style="21" min="27" max="29"/>
    <col width="18.7265625" customWidth="1" style="28" min="30" max="32"/>
    <col width="6.54296875" customWidth="1" style="21" min="33" max="35"/>
  </cols>
  <sheetData>
    <row r="1">
      <c r="G1" s="22" t="inlineStr">
        <is>
          <t>Trung bình/Kỳ</t>
        </is>
      </c>
      <c r="U1" s="23" t="inlineStr">
        <is>
          <t>Trúng 3</t>
        </is>
      </c>
      <c r="X1" s="24" t="inlineStr">
        <is>
          <t>Trúng 4</t>
        </is>
      </c>
      <c r="AA1" s="20" t="inlineStr">
        <is>
          <t>Trúng 5</t>
        </is>
      </c>
    </row>
    <row r="2" ht="53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27" t="inlineStr">
        <is>
          <t>% thu hồi</t>
        </is>
      </c>
      <c r="E2" s="1" t="inlineStr">
        <is>
          <t>Tất cả vé&gt;=3</t>
        </is>
      </c>
      <c r="F2" s="1" t="inlineStr">
        <is>
          <t>Tất cả  +1</t>
        </is>
      </c>
      <c r="G2" s="3" t="n">
        <v>3</v>
      </c>
      <c r="H2" s="3" t="inlineStr">
        <is>
          <t>3+</t>
        </is>
      </c>
      <c r="I2" s="3" t="inlineStr">
        <is>
          <t>#3</t>
        </is>
      </c>
      <c r="J2" s="3" t="n">
        <v>4</v>
      </c>
      <c r="K2" s="3" t="inlineStr">
        <is>
          <t>4+</t>
        </is>
      </c>
      <c r="L2" s="3" t="inlineStr">
        <is>
          <t>#4</t>
        </is>
      </c>
      <c r="M2" s="3" t="n">
        <v>5</v>
      </c>
      <c r="N2" s="3" t="inlineStr">
        <is>
          <t>5+</t>
        </is>
      </c>
      <c r="O2" s="3" t="inlineStr">
        <is>
          <t>#5</t>
        </is>
      </c>
      <c r="P2" s="3" t="inlineStr">
        <is>
          <t>+</t>
        </is>
      </c>
      <c r="Q2" s="4" t="inlineStr">
        <is>
          <t>Thu 
&lt;80%</t>
        </is>
      </c>
      <c r="R2" s="4" t="inlineStr">
        <is>
          <t>Tỉ lệ
&lt;80%</t>
        </is>
      </c>
      <c r="S2" s="11" t="inlineStr">
        <is>
          <t>Thu 
&gt;90%</t>
        </is>
      </c>
      <c r="T2" s="11" t="inlineStr">
        <is>
          <t>Tỉ lệ
&gt;90%</t>
        </is>
      </c>
      <c r="U2" s="12" t="n">
        <v>3</v>
      </c>
      <c r="V2" s="12" t="inlineStr">
        <is>
          <t>3+</t>
        </is>
      </c>
      <c r="W2" s="12" t="inlineStr">
        <is>
          <t>Tổng  3</t>
        </is>
      </c>
      <c r="X2" s="12" t="n">
        <v>4</v>
      </c>
      <c r="Y2" s="12" t="inlineStr">
        <is>
          <t>4+</t>
        </is>
      </c>
      <c r="Z2" s="13" t="inlineStr">
        <is>
          <t>Tổng 4</t>
        </is>
      </c>
      <c r="AA2" s="12" t="n">
        <v>5</v>
      </c>
      <c r="AB2" s="12" t="inlineStr">
        <is>
          <t>5+</t>
        </is>
      </c>
      <c r="AC2" s="12" t="inlineStr">
        <is>
          <t>Tổng 5</t>
        </is>
      </c>
      <c r="AD2" s="6" t="inlineStr">
        <is>
          <t>Chi</t>
        </is>
      </c>
      <c r="AE2" s="6" t="inlineStr">
        <is>
          <t>Thu</t>
        </is>
      </c>
      <c r="AF2" s="6" t="inlineStr">
        <is>
          <t>Lãi/Lỗ</t>
        </is>
      </c>
    </row>
    <row r="3">
      <c r="A3" t="n">
        <v>10</v>
      </c>
      <c r="B3" t="inlineStr">
        <is>
          <t>100-350</t>
        </is>
      </c>
      <c r="C3" t="inlineStr">
        <is>
          <t>251</t>
        </is>
      </c>
      <c r="D3" s="19">
        <f>(AE3/AD3)*100</f>
        <v/>
      </c>
      <c r="E3" t="n">
        <v>37925</v>
      </c>
      <c r="F3">
        <f>V3+Y3+AB3</f>
        <v/>
      </c>
      <c r="G3" t="n">
        <v>128.8565737051793</v>
      </c>
      <c r="H3" t="n">
        <v>11.71713147410359</v>
      </c>
      <c r="I3" s="14">
        <f>G3+H3</f>
        <v/>
      </c>
      <c r="J3" t="n">
        <v>10.31872509960159</v>
      </c>
      <c r="K3" t="n">
        <v>0.8127490039840638</v>
      </c>
      <c r="L3">
        <f>(Z3+AC3)/C3</f>
        <v/>
      </c>
      <c r="M3" t="n">
        <v>0.1792828685258964</v>
      </c>
      <c r="N3" t="n">
        <v>0.02390438247011952</v>
      </c>
      <c r="O3" s="16">
        <f>AC3/C3</f>
        <v/>
      </c>
      <c r="P3" t="n">
        <v>128.195219123506</v>
      </c>
      <c r="Q3" t="inlineStr">
        <is>
          <t>78/251</t>
        </is>
      </c>
      <c r="R3" s="7" t="n">
        <v>31.07569721115538</v>
      </c>
      <c r="S3" t="inlineStr">
        <is>
          <t>146/251</t>
        </is>
      </c>
      <c r="T3" t="n">
        <v>58.16733067729084</v>
      </c>
      <c r="U3" t="n">
        <v>32343</v>
      </c>
      <c r="V3" t="n">
        <v>2941</v>
      </c>
      <c r="W3" t="n">
        <v>35284</v>
      </c>
      <c r="X3" t="n">
        <v>2182</v>
      </c>
      <c r="Y3" t="n">
        <v>204</v>
      </c>
      <c r="Z3" s="7" t="n">
        <v>2590</v>
      </c>
      <c r="AA3" t="n">
        <v>45</v>
      </c>
      <c r="AB3" s="9" t="n">
        <v>6</v>
      </c>
      <c r="AC3" s="16" t="n">
        <v>51</v>
      </c>
      <c r="AD3" s="28" t="inlineStr">
        <is>
          <t>131421090000</t>
        </is>
      </c>
      <c r="AE3" s="28" t="inlineStr">
        <is>
          <t>184158707120.0</t>
        </is>
      </c>
      <c r="AF3" s="28">
        <f>(AE3-AD3)</f>
        <v/>
      </c>
    </row>
    <row r="4">
      <c r="A4" t="n">
        <v>11</v>
      </c>
      <c r="B4" t="inlineStr">
        <is>
          <t>100-350</t>
        </is>
      </c>
      <c r="C4" t="inlineStr">
        <is>
          <t>251</t>
        </is>
      </c>
      <c r="D4">
        <f>(AE4/AD4)*100</f>
        <v/>
      </c>
      <c r="E4" t="n">
        <v>37789</v>
      </c>
      <c r="F4">
        <f>V4+Y4+AB4</f>
        <v/>
      </c>
      <c r="G4" t="n">
        <v>128.4860557768924</v>
      </c>
      <c r="H4" t="n">
        <v>11.59760956175299</v>
      </c>
      <c r="I4">
        <f>G4+H4</f>
        <v/>
      </c>
      <c r="J4" t="n">
        <v>10.34262948207171</v>
      </c>
      <c r="K4" t="n">
        <v>0.7171314741035857</v>
      </c>
      <c r="L4">
        <f>(Z4+AC4)/C4</f>
        <v/>
      </c>
      <c r="M4" t="n">
        <v>0.1274900398406374</v>
      </c>
      <c r="N4" t="n">
        <v>0</v>
      </c>
      <c r="O4">
        <f>AC4/C4</f>
        <v/>
      </c>
      <c r="P4" t="n">
        <v>128.4342629482072</v>
      </c>
      <c r="Q4" t="inlineStr">
        <is>
          <t>94/251</t>
        </is>
      </c>
      <c r="R4" t="n">
        <v>37.45019920318725</v>
      </c>
      <c r="S4" t="inlineStr">
        <is>
          <t>135/251</t>
        </is>
      </c>
      <c r="T4" t="n">
        <v>53.78486055776892</v>
      </c>
      <c r="U4" t="n">
        <v>32250</v>
      </c>
      <c r="V4" t="n">
        <v>2911</v>
      </c>
      <c r="W4" t="n">
        <v>35161</v>
      </c>
      <c r="X4" t="n">
        <v>2288</v>
      </c>
      <c r="Y4" t="n">
        <v>180</v>
      </c>
      <c r="Z4" s="7" t="n">
        <v>2596</v>
      </c>
      <c r="AA4" t="n">
        <v>32</v>
      </c>
      <c r="AB4" t="n">
        <v>0</v>
      </c>
      <c r="AC4" t="n">
        <v>32</v>
      </c>
      <c r="AD4" s="29" t="inlineStr">
        <is>
          <t>131421090000</t>
        </is>
      </c>
      <c r="AE4" s="28" t="inlineStr">
        <is>
          <t>148641587120.0</t>
        </is>
      </c>
      <c r="AF4" s="28">
        <f>(AE4-AD4)</f>
        <v/>
      </c>
    </row>
    <row r="5">
      <c r="A5" t="n">
        <v>12</v>
      </c>
      <c r="B5" t="inlineStr">
        <is>
          <t>100-350</t>
        </is>
      </c>
      <c r="C5" t="inlineStr">
        <is>
          <t>251</t>
        </is>
      </c>
      <c r="D5">
        <f>(AE5/AD5)*100</f>
        <v/>
      </c>
      <c r="E5" t="n">
        <v>37906</v>
      </c>
      <c r="F5">
        <f>V5+Y5+AB5</f>
        <v/>
      </c>
      <c r="G5" t="n">
        <v>128.7171314741036</v>
      </c>
      <c r="H5" t="n">
        <v>11.81274900398406</v>
      </c>
      <c r="I5" s="9">
        <f>G5+H5</f>
        <v/>
      </c>
      <c r="J5" t="n">
        <v>10.30278884462151</v>
      </c>
      <c r="K5" t="n">
        <v>0.796812749003984</v>
      </c>
      <c r="L5">
        <f>(Z5+AC5)/C5</f>
        <v/>
      </c>
      <c r="M5" t="n">
        <v>0.1832669322709163</v>
      </c>
      <c r="N5" t="n">
        <v>0.00398406374501992</v>
      </c>
      <c r="O5">
        <f>AC5/C5</f>
        <v/>
      </c>
      <c r="P5" t="n">
        <v>128.1354581673307</v>
      </c>
      <c r="Q5" t="inlineStr">
        <is>
          <t>87/251</t>
        </is>
      </c>
      <c r="R5" t="n">
        <v>34.66135458167331</v>
      </c>
      <c r="S5" t="inlineStr">
        <is>
          <t>148/251</t>
        </is>
      </c>
      <c r="T5" t="n">
        <v>58.96414342629483</v>
      </c>
      <c r="U5" t="n">
        <v>32308</v>
      </c>
      <c r="V5" t="n">
        <v>2965</v>
      </c>
      <c r="W5" t="n">
        <v>35273</v>
      </c>
      <c r="X5" t="n">
        <v>2198</v>
      </c>
      <c r="Y5" t="n">
        <v>200</v>
      </c>
      <c r="Z5" t="n">
        <v>2586</v>
      </c>
      <c r="AA5" t="n">
        <v>46</v>
      </c>
      <c r="AB5" t="n">
        <v>1</v>
      </c>
      <c r="AC5" s="8" t="n">
        <v>47</v>
      </c>
      <c r="AD5" s="29" t="inlineStr">
        <is>
          <t>131421090000</t>
        </is>
      </c>
      <c r="AE5" s="28" t="inlineStr">
        <is>
          <t>171216874920.0</t>
        </is>
      </c>
      <c r="AF5" s="28">
        <f>(AE5-AD5)</f>
        <v/>
      </c>
    </row>
    <row r="6">
      <c r="A6" t="n">
        <v>13</v>
      </c>
      <c r="B6" t="inlineStr">
        <is>
          <t>100-350</t>
        </is>
      </c>
      <c r="C6" t="inlineStr">
        <is>
          <t>251</t>
        </is>
      </c>
      <c r="D6">
        <f>(AE6/AD6)*100</f>
        <v/>
      </c>
      <c r="E6" t="n">
        <v>37875</v>
      </c>
      <c r="F6">
        <f>V6+Y6+AB6</f>
        <v/>
      </c>
      <c r="G6" t="n">
        <v>128.601593625498</v>
      </c>
      <c r="H6" t="n">
        <v>11.8605577689243</v>
      </c>
      <c r="I6" s="9">
        <f>G6+H6</f>
        <v/>
      </c>
      <c r="J6" t="n">
        <v>10.27490039840638</v>
      </c>
      <c r="K6" t="n">
        <v>0.8366533864541833</v>
      </c>
      <c r="L6">
        <f>(Z6+AC6)/C6</f>
        <v/>
      </c>
      <c r="M6" t="n">
        <v>0.1434262948207171</v>
      </c>
      <c r="N6" t="n">
        <v>0.01593625498007968</v>
      </c>
      <c r="O6">
        <f>AC6/C6</f>
        <v/>
      </c>
      <c r="P6" t="n">
        <v>128.0358565737052</v>
      </c>
      <c r="Q6" t="inlineStr">
        <is>
          <t>88/251</t>
        </is>
      </c>
      <c r="R6" t="n">
        <v>35.0597609561753</v>
      </c>
      <c r="S6" t="inlineStr">
        <is>
          <t>145/251</t>
        </is>
      </c>
      <c r="T6" t="n">
        <v>57.76892430278885</v>
      </c>
      <c r="U6" t="n">
        <v>32279</v>
      </c>
      <c r="V6" t="n">
        <v>2977</v>
      </c>
      <c r="W6" t="n">
        <v>35256</v>
      </c>
      <c r="X6" t="n">
        <v>2209</v>
      </c>
      <c r="Y6" t="n">
        <v>210</v>
      </c>
      <c r="Z6" t="n">
        <v>2579</v>
      </c>
      <c r="AA6" t="n">
        <v>36</v>
      </c>
      <c r="AB6" t="n">
        <v>4</v>
      </c>
      <c r="AC6" t="n">
        <v>40</v>
      </c>
      <c r="AD6" s="29" t="inlineStr">
        <is>
          <t>131421090000</t>
        </is>
      </c>
      <c r="AE6" s="28" t="inlineStr">
        <is>
          <t>168885007860.0</t>
        </is>
      </c>
      <c r="AF6" s="28">
        <f>(AE6-AD6)</f>
        <v/>
      </c>
    </row>
    <row r="7">
      <c r="A7" t="n">
        <v>14</v>
      </c>
      <c r="B7" t="inlineStr">
        <is>
          <t>100-350</t>
        </is>
      </c>
      <c r="C7" t="inlineStr">
        <is>
          <t>251</t>
        </is>
      </c>
      <c r="D7">
        <f>(AE7/AD7)*100</f>
        <v/>
      </c>
      <c r="E7" t="n">
        <v>37835</v>
      </c>
      <c r="F7">
        <f>V7+Y7+AB7</f>
        <v/>
      </c>
      <c r="G7" t="n">
        <v>128.2390438247012</v>
      </c>
      <c r="H7" t="n">
        <v>12.01195219123506</v>
      </c>
      <c r="I7">
        <f>G7+H7</f>
        <v/>
      </c>
      <c r="J7" t="n">
        <v>10.32669322709163</v>
      </c>
      <c r="K7" t="n">
        <v>0.8565737051792829</v>
      </c>
      <c r="L7">
        <f>(Z7+AC7)/C7</f>
        <v/>
      </c>
      <c r="M7" t="n">
        <v>0.151394422310757</v>
      </c>
      <c r="N7" t="n">
        <v>0.00796812749003984</v>
      </c>
      <c r="O7">
        <f>AC7/C7</f>
        <v/>
      </c>
      <c r="P7" t="n">
        <v>127.8725099601594</v>
      </c>
      <c r="Q7" t="inlineStr">
        <is>
          <t>87/251</t>
        </is>
      </c>
      <c r="R7" t="n">
        <v>34.66135458167331</v>
      </c>
      <c r="S7" t="inlineStr">
        <is>
          <t>144/251</t>
        </is>
      </c>
      <c r="T7" t="n">
        <v>57.37051792828686</v>
      </c>
      <c r="U7" t="n">
        <v>32188</v>
      </c>
      <c r="V7" t="n">
        <v>3015</v>
      </c>
      <c r="W7" t="n">
        <v>35203</v>
      </c>
      <c r="X7" t="n">
        <v>2217</v>
      </c>
      <c r="Y7" t="n">
        <v>215</v>
      </c>
      <c r="Z7" s="7" t="n">
        <v>2592</v>
      </c>
      <c r="AA7" t="n">
        <v>38</v>
      </c>
      <c r="AB7" t="n">
        <v>2</v>
      </c>
      <c r="AC7" t="n">
        <v>40</v>
      </c>
      <c r="AD7" s="29" t="inlineStr">
        <is>
          <t>131421090000</t>
        </is>
      </c>
      <c r="AE7" s="28" t="inlineStr">
        <is>
          <t>166937578280.0</t>
        </is>
      </c>
      <c r="AF7" s="28">
        <f>(AE7-AD7)</f>
        <v/>
      </c>
    </row>
    <row r="8">
      <c r="A8" t="n">
        <v>15</v>
      </c>
      <c r="B8" t="inlineStr">
        <is>
          <t>100-350</t>
        </is>
      </c>
      <c r="C8" t="inlineStr">
        <is>
          <t>251</t>
        </is>
      </c>
      <c r="D8" s="14">
        <f>(AE8/AD8)*100</f>
        <v/>
      </c>
      <c r="E8" t="n">
        <v>37866</v>
      </c>
      <c r="F8">
        <f>V8+Y8+AB8</f>
        <v/>
      </c>
      <c r="G8" t="n">
        <v>128.6972111553785</v>
      </c>
      <c r="H8" t="n">
        <v>11.60956175298805</v>
      </c>
      <c r="I8">
        <f>G8+H8</f>
        <v/>
      </c>
      <c r="J8" t="n">
        <v>10.36653386454183</v>
      </c>
      <c r="K8" s="14" t="n">
        <v>0.9282868525896414</v>
      </c>
      <c r="L8" s="9">
        <f>(Z8+AC8)/C8</f>
        <v/>
      </c>
      <c r="M8" t="n">
        <v>0.1553784860557769</v>
      </c>
      <c r="N8" t="n">
        <v>0.03187250996015936</v>
      </c>
      <c r="O8">
        <f>AC8/C8</f>
        <v/>
      </c>
      <c r="P8" t="n">
        <v>128.1792828685259</v>
      </c>
      <c r="Q8" t="inlineStr">
        <is>
          <t>63/251</t>
        </is>
      </c>
      <c r="R8" s="14" t="n">
        <v>25.0996015936255</v>
      </c>
      <c r="S8" t="inlineStr">
        <is>
          <t>152/251</t>
        </is>
      </c>
      <c r="T8" s="8" t="n">
        <v>60.55776892430279</v>
      </c>
      <c r="U8" t="n">
        <v>32303</v>
      </c>
      <c r="V8" t="n">
        <v>2914</v>
      </c>
      <c r="W8" t="n">
        <v>35217</v>
      </c>
      <c r="X8" t="n">
        <v>2181</v>
      </c>
      <c r="Y8" s="14" t="n">
        <v>233</v>
      </c>
      <c r="Z8" s="9" t="n">
        <v>2602</v>
      </c>
      <c r="AA8" t="n">
        <v>39</v>
      </c>
      <c r="AB8" s="15" t="n">
        <v>8</v>
      </c>
      <c r="AC8" s="8" t="n">
        <v>47</v>
      </c>
      <c r="AD8" s="29" t="inlineStr">
        <is>
          <t>131421090000</t>
        </is>
      </c>
      <c r="AE8" s="28" t="inlineStr">
        <is>
          <t>186740852920.0</t>
        </is>
      </c>
      <c r="AF8" s="28">
        <f>(AE8-AD8)</f>
        <v/>
      </c>
    </row>
    <row r="9">
      <c r="A9" t="n">
        <v>16</v>
      </c>
      <c r="B9" t="inlineStr">
        <is>
          <t>100-350</t>
        </is>
      </c>
      <c r="C9" t="inlineStr">
        <is>
          <t>251</t>
        </is>
      </c>
      <c r="D9" s="8">
        <f>(AE9/AD9)*100</f>
        <v/>
      </c>
      <c r="E9" t="n">
        <v>37865</v>
      </c>
      <c r="F9">
        <f>V9+Y9+AB9</f>
        <v/>
      </c>
      <c r="G9" t="n">
        <v>128.4581673306773</v>
      </c>
      <c r="H9" t="n">
        <v>11.90836653386454</v>
      </c>
      <c r="I9" s="7">
        <f>G9+H9</f>
        <v/>
      </c>
      <c r="J9" t="n">
        <v>10.31474103585657</v>
      </c>
      <c r="K9" t="n">
        <v>0.8167330677290837</v>
      </c>
      <c r="L9">
        <f>(Z9+AC9)/C9</f>
        <v/>
      </c>
      <c r="M9" t="n">
        <v>0.1553784860557769</v>
      </c>
      <c r="N9" t="n">
        <v>0.0199203187250996</v>
      </c>
      <c r="O9">
        <f>AC9/C9</f>
        <v/>
      </c>
      <c r="P9" t="n">
        <v>128.003984063745</v>
      </c>
      <c r="Q9" t="inlineStr">
        <is>
          <t>84/251</t>
        </is>
      </c>
      <c r="R9" t="n">
        <v>33.46613545816733</v>
      </c>
      <c r="S9" t="inlineStr">
        <is>
          <t>145/251</t>
        </is>
      </c>
      <c r="T9" t="n">
        <v>57.76892430278885</v>
      </c>
      <c r="U9" t="n">
        <v>32243</v>
      </c>
      <c r="V9" t="n">
        <v>2989</v>
      </c>
      <c r="W9" t="n">
        <v>35232</v>
      </c>
      <c r="X9" t="n">
        <v>2208</v>
      </c>
      <c r="Y9" t="n">
        <v>205</v>
      </c>
      <c r="Z9" t="n">
        <v>2589</v>
      </c>
      <c r="AA9" t="n">
        <v>39</v>
      </c>
      <c r="AB9" s="7" t="n">
        <v>5</v>
      </c>
      <c r="AC9" t="n">
        <v>44</v>
      </c>
      <c r="AD9" s="29" t="inlineStr">
        <is>
          <t>131421090000</t>
        </is>
      </c>
      <c r="AE9" s="28" t="inlineStr">
        <is>
          <t>174643537020.0</t>
        </is>
      </c>
      <c r="AF9" s="28">
        <f>(AE9-AD9)</f>
        <v/>
      </c>
    </row>
    <row r="10">
      <c r="A10" t="n">
        <v>17</v>
      </c>
      <c r="B10" t="inlineStr">
        <is>
          <t>100-350</t>
        </is>
      </c>
      <c r="C10" t="inlineStr">
        <is>
          <t>251</t>
        </is>
      </c>
      <c r="D10">
        <f>(AE10/AD10)*100</f>
        <v/>
      </c>
      <c r="E10" t="n">
        <v>37850</v>
      </c>
      <c r="F10">
        <f>V10+Y10+AB10</f>
        <v/>
      </c>
      <c r="G10" t="n">
        <v>128.6414342629482</v>
      </c>
      <c r="H10" t="n">
        <v>11.66135458167331</v>
      </c>
      <c r="I10">
        <f>G10+H10</f>
        <v/>
      </c>
      <c r="J10" t="n">
        <v>10.32669322709163</v>
      </c>
      <c r="K10" t="n">
        <v>0.8326693227091634</v>
      </c>
      <c r="L10">
        <f>(Z10+AC10)/C10</f>
        <v/>
      </c>
      <c r="M10" t="n">
        <v>0.151394422310757</v>
      </c>
      <c r="N10" t="n">
        <v>0.01593625498007968</v>
      </c>
      <c r="O10">
        <f>AC10/C10</f>
        <v/>
      </c>
      <c r="P10" t="n">
        <v>128.2390438247012</v>
      </c>
      <c r="Q10" t="inlineStr">
        <is>
          <t>74/251</t>
        </is>
      </c>
      <c r="R10" s="9" t="n">
        <v>29.48207171314741</v>
      </c>
      <c r="S10" t="inlineStr">
        <is>
          <t>145/251</t>
        </is>
      </c>
      <c r="T10" t="n">
        <v>57.76892430278885</v>
      </c>
      <c r="U10" t="n">
        <v>32289</v>
      </c>
      <c r="V10" t="n">
        <v>2927</v>
      </c>
      <c r="W10" t="n">
        <v>35216</v>
      </c>
      <c r="X10" t="n">
        <v>2215</v>
      </c>
      <c r="Y10" t="n">
        <v>209</v>
      </c>
      <c r="Z10" s="7" t="n">
        <v>2592</v>
      </c>
      <c r="AA10" t="n">
        <v>38</v>
      </c>
      <c r="AB10" t="n">
        <v>4</v>
      </c>
      <c r="AC10" t="n">
        <v>42</v>
      </c>
      <c r="AD10" s="29" t="inlineStr">
        <is>
          <t>131421090000</t>
        </is>
      </c>
      <c r="AE10" s="28" t="inlineStr">
        <is>
          <t>171029502840.0</t>
        </is>
      </c>
      <c r="AF10" s="28">
        <f>(AE10-AD10)</f>
        <v/>
      </c>
    </row>
    <row r="11">
      <c r="A11" t="n">
        <v>18</v>
      </c>
      <c r="B11" t="inlineStr">
        <is>
          <t>100-350</t>
        </is>
      </c>
      <c r="C11" t="inlineStr">
        <is>
          <t>251</t>
        </is>
      </c>
      <c r="D11">
        <f>(AE11/AD11)*100</f>
        <v/>
      </c>
      <c r="E11" t="n">
        <v>37684</v>
      </c>
      <c r="F11">
        <f>V11+Y11+AB11</f>
        <v/>
      </c>
      <c r="G11" t="n">
        <v>128.2988047808765</v>
      </c>
      <c r="H11" t="n">
        <v>11.34262948207171</v>
      </c>
      <c r="I11">
        <f>G11+H11</f>
        <v/>
      </c>
      <c r="J11" t="n">
        <v>10.33067729083665</v>
      </c>
      <c r="K11" t="n">
        <v>0.8605577689243028</v>
      </c>
      <c r="L11">
        <f>(Z11+AC11)/C11</f>
        <v/>
      </c>
      <c r="M11" t="n">
        <v>0.1474103585657371</v>
      </c>
      <c r="N11" t="n">
        <v>0.01593625498007968</v>
      </c>
      <c r="O11">
        <f>AC11/C11</f>
        <v/>
      </c>
      <c r="P11" t="n">
        <v>127.9681274900398</v>
      </c>
      <c r="Q11" t="inlineStr">
        <is>
          <t>81/251</t>
        </is>
      </c>
      <c r="R11" t="n">
        <v>32.27091633466135</v>
      </c>
      <c r="S11" t="inlineStr">
        <is>
          <t>145/251</t>
        </is>
      </c>
      <c r="T11" t="n">
        <v>57.76892430278885</v>
      </c>
      <c r="U11" t="n">
        <v>32203</v>
      </c>
      <c r="V11" t="n">
        <v>2847</v>
      </c>
      <c r="W11" t="n">
        <v>35050</v>
      </c>
      <c r="X11" t="n">
        <v>2213</v>
      </c>
      <c r="Y11" t="n">
        <v>216</v>
      </c>
      <c r="Z11" s="7" t="n">
        <v>2593</v>
      </c>
      <c r="AA11" t="n">
        <v>37</v>
      </c>
      <c r="AB11" t="n">
        <v>4</v>
      </c>
      <c r="AC11" t="n">
        <v>41</v>
      </c>
      <c r="AD11" s="29" t="inlineStr">
        <is>
          <t>130897500000</t>
        </is>
      </c>
      <c r="AE11" s="28" t="inlineStr">
        <is>
          <t>170332070980.0</t>
        </is>
      </c>
      <c r="AF11" s="28">
        <f>(AE11-AD11)</f>
        <v/>
      </c>
    </row>
    <row r="12">
      <c r="A12" t="n">
        <v>19</v>
      </c>
      <c r="B12" t="inlineStr">
        <is>
          <t>100-350</t>
        </is>
      </c>
      <c r="C12" t="inlineStr">
        <is>
          <t>251</t>
        </is>
      </c>
      <c r="D12">
        <f>(AE12/AD12)*100</f>
        <v/>
      </c>
      <c r="E12" t="n">
        <v>37811</v>
      </c>
      <c r="F12">
        <f>V12+Y12+AB12</f>
        <v/>
      </c>
      <c r="G12" t="n">
        <v>128.5338645418327</v>
      </c>
      <c r="H12" t="n">
        <v>11.64541832669323</v>
      </c>
      <c r="I12">
        <f>G12+H12</f>
        <v/>
      </c>
      <c r="J12" t="n">
        <v>10.33067729083665</v>
      </c>
      <c r="K12" t="n">
        <v>0.7450199203187251</v>
      </c>
      <c r="L12">
        <f>(Z12+AC12)/C12</f>
        <v/>
      </c>
      <c r="M12" t="n">
        <v>0.1235059760956175</v>
      </c>
      <c r="N12" t="n">
        <v>0.00796812749003984</v>
      </c>
      <c r="O12">
        <f>AC12/C12</f>
        <v/>
      </c>
      <c r="P12" t="n">
        <v>128.3505976095618</v>
      </c>
      <c r="Q12" t="inlineStr">
        <is>
          <t>98/251</t>
        </is>
      </c>
      <c r="R12" t="n">
        <v>39.04382470119522</v>
      </c>
      <c r="S12" t="inlineStr">
        <is>
          <t>130/251</t>
        </is>
      </c>
      <c r="T12" t="n">
        <v>51.79282868525896</v>
      </c>
      <c r="U12" t="n">
        <v>32262</v>
      </c>
      <c r="V12" t="n">
        <v>2923</v>
      </c>
      <c r="W12" t="n">
        <v>35185</v>
      </c>
      <c r="X12" t="n">
        <v>2274</v>
      </c>
      <c r="Y12" t="n">
        <v>187</v>
      </c>
      <c r="Z12" s="7" t="n">
        <v>2593</v>
      </c>
      <c r="AA12" t="n">
        <v>31</v>
      </c>
      <c r="AB12" t="n">
        <v>2</v>
      </c>
      <c r="AC12" t="n">
        <v>33</v>
      </c>
      <c r="AD12" s="29" t="inlineStr">
        <is>
          <t>131421090000</t>
        </is>
      </c>
      <c r="AE12" s="28" t="inlineStr">
        <is>
          <t>153958977980.0</t>
        </is>
      </c>
      <c r="AF12" s="28">
        <f>(AE12-AD12)</f>
        <v/>
      </c>
    </row>
    <row r="13">
      <c r="A13" t="n">
        <v>20</v>
      </c>
      <c r="B13" t="inlineStr">
        <is>
          <t>100-350</t>
        </is>
      </c>
      <c r="C13" t="inlineStr">
        <is>
          <t>251</t>
        </is>
      </c>
      <c r="D13" s="8">
        <f>(AE13/AD13)*100</f>
        <v/>
      </c>
      <c r="E13" t="n">
        <v>37897</v>
      </c>
      <c r="F13">
        <f>V13+Y13+AB13</f>
        <v/>
      </c>
      <c r="G13" t="n">
        <v>128.5378486055777</v>
      </c>
      <c r="H13" t="n">
        <v>11.89243027888446</v>
      </c>
      <c r="I13" s="7">
        <f>G13+H13</f>
        <v/>
      </c>
      <c r="J13" t="n">
        <v>10.35059760956175</v>
      </c>
      <c r="K13" t="n">
        <v>0.7888446215139442</v>
      </c>
      <c r="L13" s="9">
        <f>(Z13+AC13)/C13</f>
        <v/>
      </c>
      <c r="M13" s="14" t="n">
        <v>0.199203187250996</v>
      </c>
      <c r="N13" t="n">
        <v>0.00398406374501992</v>
      </c>
      <c r="O13" s="16">
        <f>AC13/C13</f>
        <v/>
      </c>
      <c r="P13" t="n">
        <v>128.0637450199203</v>
      </c>
      <c r="Q13" t="inlineStr">
        <is>
          <t>84/251</t>
        </is>
      </c>
      <c r="R13" t="n">
        <v>33.46613545816733</v>
      </c>
      <c r="S13" t="inlineStr">
        <is>
          <t>143/251</t>
        </is>
      </c>
      <c r="T13" t="n">
        <v>56.97211155378486</v>
      </c>
      <c r="U13" t="n">
        <v>32263</v>
      </c>
      <c r="V13" t="n">
        <v>2985</v>
      </c>
      <c r="W13" t="n">
        <v>35248</v>
      </c>
      <c r="X13" t="n">
        <v>2196</v>
      </c>
      <c r="Y13" t="n">
        <v>198</v>
      </c>
      <c r="Z13" s="7" t="n">
        <v>2598</v>
      </c>
      <c r="AA13" t="n">
        <v>50</v>
      </c>
      <c r="AB13" t="n">
        <v>1</v>
      </c>
      <c r="AC13" s="16" t="n">
        <v>51</v>
      </c>
      <c r="AD13" s="29" t="inlineStr">
        <is>
          <t>131421090000</t>
        </is>
      </c>
      <c r="AE13" s="28" t="inlineStr">
        <is>
          <t>175963427720.0</t>
        </is>
      </c>
      <c r="AF13" s="28">
        <f>(AE13-AD13)</f>
        <v/>
      </c>
    </row>
    <row r="14">
      <c r="A14" t="n">
        <v>21</v>
      </c>
      <c r="B14" t="inlineStr">
        <is>
          <t>100-350</t>
        </is>
      </c>
      <c r="C14" t="inlineStr">
        <is>
          <t>251</t>
        </is>
      </c>
      <c r="D14">
        <f>(AE14/AD14)*100</f>
        <v/>
      </c>
      <c r="E14" t="n">
        <v>37823</v>
      </c>
      <c r="F14">
        <f>V14+Y14+AB14</f>
        <v/>
      </c>
      <c r="G14" t="n">
        <v>128.3545816733068</v>
      </c>
      <c r="H14" t="n">
        <v>11.90836653386454</v>
      </c>
      <c r="I14">
        <f>G14+H14</f>
        <v/>
      </c>
      <c r="J14" t="n">
        <v>10.29482071713147</v>
      </c>
      <c r="K14" t="n">
        <v>0.7051792828685259</v>
      </c>
      <c r="L14">
        <f>(Z14+AC14)/C14</f>
        <v/>
      </c>
      <c r="M14" t="n">
        <v>0.1115537848605578</v>
      </c>
      <c r="N14" t="n">
        <v>0.0199203187250996</v>
      </c>
      <c r="O14">
        <f>AC14/C14</f>
        <v/>
      </c>
      <c r="P14" t="n">
        <v>128.1155378486056</v>
      </c>
      <c r="Q14" t="inlineStr">
        <is>
          <t>107/251</t>
        </is>
      </c>
      <c r="R14" t="n">
        <v>42.62948207171315</v>
      </c>
      <c r="S14" t="inlineStr">
        <is>
          <t>129/251</t>
        </is>
      </c>
      <c r="T14" t="n">
        <v>51.39442231075697</v>
      </c>
      <c r="U14" t="n">
        <v>32217</v>
      </c>
      <c r="V14" t="n">
        <v>2989</v>
      </c>
      <c r="W14" t="n">
        <v>35206</v>
      </c>
      <c r="X14" t="n">
        <v>2275</v>
      </c>
      <c r="Y14" t="n">
        <v>177</v>
      </c>
      <c r="Z14" t="n">
        <v>2584</v>
      </c>
      <c r="AA14" t="n">
        <v>28</v>
      </c>
      <c r="AB14" s="7" t="n">
        <v>5</v>
      </c>
      <c r="AC14" t="n">
        <v>33</v>
      </c>
      <c r="AD14" s="29" t="inlineStr">
        <is>
          <t>131421090000</t>
        </is>
      </c>
      <c r="AE14" s="28" t="inlineStr">
        <is>
          <t>157289866920.0</t>
        </is>
      </c>
      <c r="AF14" s="28">
        <f>(AE14-AD14)</f>
        <v/>
      </c>
    </row>
    <row r="15">
      <c r="A15" t="n">
        <v>22</v>
      </c>
      <c r="B15" t="inlineStr">
        <is>
          <t>100-350</t>
        </is>
      </c>
      <c r="C15" t="inlineStr">
        <is>
          <t>251</t>
        </is>
      </c>
      <c r="D15">
        <f>(AE15/AD15)*100</f>
        <v/>
      </c>
      <c r="E15" t="n">
        <v>37644</v>
      </c>
      <c r="F15">
        <f>V15+Y15+AB15</f>
        <v/>
      </c>
      <c r="G15" t="n">
        <v>127.6294820717131</v>
      </c>
      <c r="H15" s="14" t="n">
        <v>11.81274900398406</v>
      </c>
      <c r="I15">
        <f>G15+H15</f>
        <v/>
      </c>
      <c r="J15" t="n">
        <v>10.37848605577689</v>
      </c>
      <c r="K15" t="n">
        <v>0.7808764940239044</v>
      </c>
      <c r="L15">
        <f>(Z15+AC15)/C15</f>
        <v/>
      </c>
      <c r="M15" t="n">
        <v>0.151394422310757</v>
      </c>
      <c r="N15" t="n">
        <v>0.00398406374501992</v>
      </c>
      <c r="O15">
        <f>AC15/C15</f>
        <v/>
      </c>
      <c r="P15" t="n">
        <v>127.593625498008</v>
      </c>
      <c r="Q15" t="inlineStr">
        <is>
          <t>87/251</t>
        </is>
      </c>
      <c r="R15" t="n">
        <v>34.66135458167331</v>
      </c>
      <c r="S15" t="inlineStr">
        <is>
          <t>145/251</t>
        </is>
      </c>
      <c r="T15" t="n">
        <v>57.76892430278885</v>
      </c>
      <c r="U15" t="n">
        <v>32035</v>
      </c>
      <c r="V15" t="n">
        <v>2965</v>
      </c>
      <c r="W15" t="n">
        <v>35000</v>
      </c>
      <c r="X15" t="n">
        <v>2253</v>
      </c>
      <c r="Y15" t="n">
        <v>196</v>
      </c>
      <c r="Z15" s="9" t="n">
        <v>2605</v>
      </c>
      <c r="AA15" t="n">
        <v>38</v>
      </c>
      <c r="AB15" t="n">
        <v>1</v>
      </c>
      <c r="AC15" t="n">
        <v>39</v>
      </c>
      <c r="AD15" s="29" t="inlineStr">
        <is>
          <t>130897500000</t>
        </is>
      </c>
      <c r="AE15" s="28" t="inlineStr">
        <is>
          <t>161180707180.0</t>
        </is>
      </c>
      <c r="AF15" s="28">
        <f>(AE15-AD15)</f>
        <v/>
      </c>
    </row>
    <row r="16">
      <c r="A16" t="n">
        <v>23</v>
      </c>
      <c r="B16" t="inlineStr">
        <is>
          <t>100-350</t>
        </is>
      </c>
      <c r="C16" t="inlineStr">
        <is>
          <t>251</t>
        </is>
      </c>
      <c r="D16">
        <f>(AE16/AD16)*100</f>
        <v/>
      </c>
      <c r="E16" t="n">
        <v>37813</v>
      </c>
      <c r="F16">
        <f>V16+Y16+AB16</f>
        <v/>
      </c>
      <c r="G16" t="n">
        <v>128.4262948207171</v>
      </c>
      <c r="H16" t="n">
        <v>11.7609561752988</v>
      </c>
      <c r="I16">
        <f>G16+H16</f>
        <v/>
      </c>
      <c r="J16" t="n">
        <v>10.32270916334661</v>
      </c>
      <c r="K16" t="n">
        <v>0.8286852589641435</v>
      </c>
      <c r="L16">
        <f>(Z16+AC16)/C16</f>
        <v/>
      </c>
      <c r="M16" t="n">
        <v>0.1274900398406374</v>
      </c>
      <c r="N16" t="n">
        <v>0.01195219123505976</v>
      </c>
      <c r="O16">
        <f>AC16/C16</f>
        <v/>
      </c>
      <c r="P16" t="n">
        <v>128.1474103585657</v>
      </c>
      <c r="Q16" t="inlineStr">
        <is>
          <t>82/251</t>
        </is>
      </c>
      <c r="R16" t="n">
        <v>32.66932270916335</v>
      </c>
      <c r="S16" t="inlineStr">
        <is>
          <t>149/251</t>
        </is>
      </c>
      <c r="T16" t="n">
        <v>59.36254980079681</v>
      </c>
      <c r="U16" t="n">
        <v>32235</v>
      </c>
      <c r="V16" t="n">
        <v>2952</v>
      </c>
      <c r="W16" t="n">
        <v>35187</v>
      </c>
      <c r="X16" t="n">
        <v>2243</v>
      </c>
      <c r="Y16" t="n">
        <v>208</v>
      </c>
      <c r="Z16" s="7" t="n">
        <v>2591</v>
      </c>
      <c r="AA16" t="n">
        <v>32</v>
      </c>
      <c r="AB16" t="n">
        <v>3</v>
      </c>
      <c r="AC16" t="n">
        <v>35</v>
      </c>
      <c r="AD16" s="29" t="inlineStr">
        <is>
          <t>131421090000</t>
        </is>
      </c>
      <c r="AE16" s="28" t="inlineStr">
        <is>
          <t>161107982100.0</t>
        </is>
      </c>
      <c r="AF16" s="28">
        <f>(AE16-AD16)</f>
        <v/>
      </c>
    </row>
    <row r="17">
      <c r="A17" t="n">
        <v>24</v>
      </c>
      <c r="B17" t="inlineStr">
        <is>
          <t>100-350</t>
        </is>
      </c>
      <c r="C17" t="inlineStr">
        <is>
          <t>251</t>
        </is>
      </c>
      <c r="D17">
        <f>(AE17/AD17)*100</f>
        <v/>
      </c>
      <c r="E17" t="n">
        <v>37808</v>
      </c>
      <c r="F17">
        <f>V17+Y17+AB17</f>
        <v/>
      </c>
      <c r="G17" t="n">
        <v>128.3625498007968</v>
      </c>
      <c r="H17" t="n">
        <v>11.7808764940239</v>
      </c>
      <c r="I17">
        <f>G17+H17</f>
        <v/>
      </c>
      <c r="J17" t="n">
        <v>10.34262948207171</v>
      </c>
      <c r="K17" t="n">
        <v>0.8286852589641435</v>
      </c>
      <c r="L17">
        <f>(Z17+AC17)/C17</f>
        <v/>
      </c>
      <c r="M17" t="n">
        <v>0.1434262948207171</v>
      </c>
      <c r="N17" t="n">
        <v>0</v>
      </c>
      <c r="O17">
        <f>AC17/C17</f>
        <v/>
      </c>
      <c r="P17" t="n">
        <v>128.1394422310757</v>
      </c>
      <c r="Q17" t="inlineStr">
        <is>
          <t>78/251</t>
        </is>
      </c>
      <c r="R17" s="7" t="n">
        <v>31.07569721115538</v>
      </c>
      <c r="S17" t="inlineStr">
        <is>
          <t>148/251</t>
        </is>
      </c>
      <c r="T17" t="n">
        <v>58.96414342629483</v>
      </c>
      <c r="U17" t="n">
        <v>32219</v>
      </c>
      <c r="V17" t="n">
        <v>2957</v>
      </c>
      <c r="W17" t="n">
        <v>35176</v>
      </c>
      <c r="X17" t="n">
        <v>2244</v>
      </c>
      <c r="Y17" t="n">
        <v>208</v>
      </c>
      <c r="Z17" s="7" t="n">
        <v>2596</v>
      </c>
      <c r="AA17" t="n">
        <v>36</v>
      </c>
      <c r="AB17" t="n">
        <v>0</v>
      </c>
      <c r="AC17" t="n">
        <v>36</v>
      </c>
      <c r="AD17" s="29" t="inlineStr">
        <is>
          <t>131421090000</t>
        </is>
      </c>
      <c r="AE17" s="28" t="inlineStr">
        <is>
          <t>157811392240.0</t>
        </is>
      </c>
      <c r="AF17" s="28">
        <f>(AE17-AD17)</f>
        <v/>
      </c>
    </row>
    <row r="18">
      <c r="A18" t="n">
        <v>25</v>
      </c>
      <c r="B18" t="inlineStr">
        <is>
          <t>100-350</t>
        </is>
      </c>
      <c r="C18" t="inlineStr">
        <is>
          <t>251</t>
        </is>
      </c>
      <c r="D18">
        <f>(AE18/AD18)*100</f>
        <v/>
      </c>
      <c r="E18" t="n">
        <v>37851</v>
      </c>
      <c r="F18">
        <f>V18+Y18+AB18</f>
        <v/>
      </c>
      <c r="G18" t="n">
        <v>128.8326693227092</v>
      </c>
      <c r="H18" t="n">
        <v>11.47410358565737</v>
      </c>
      <c r="I18">
        <f>G18+H18</f>
        <v/>
      </c>
      <c r="J18" t="n">
        <v>10.33067729083665</v>
      </c>
      <c r="K18" t="n">
        <v>0.8605577689243028</v>
      </c>
      <c r="L18">
        <f>(Z18+AC18)/C18</f>
        <v/>
      </c>
      <c r="M18" t="n">
        <v>0.1593625498007968</v>
      </c>
      <c r="N18" t="n">
        <v>0.00398406374501992</v>
      </c>
      <c r="O18">
        <f>AC18/C18</f>
        <v/>
      </c>
      <c r="P18" t="n">
        <v>128.4103585657371</v>
      </c>
      <c r="Q18" t="inlineStr">
        <is>
          <t>78/251</t>
        </is>
      </c>
      <c r="R18" s="7" t="n">
        <v>31.07569721115538</v>
      </c>
      <c r="S18" t="inlineStr">
        <is>
          <t>144/251</t>
        </is>
      </c>
      <c r="T18" t="n">
        <v>57.37051792828686</v>
      </c>
      <c r="U18" t="n">
        <v>32337</v>
      </c>
      <c r="V18" t="n">
        <v>2880</v>
      </c>
      <c r="W18" t="n">
        <v>35217</v>
      </c>
      <c r="X18" t="n">
        <v>2213</v>
      </c>
      <c r="Y18" t="n">
        <v>216</v>
      </c>
      <c r="Z18" s="7" t="n">
        <v>2593</v>
      </c>
      <c r="AA18" t="n">
        <v>40</v>
      </c>
      <c r="AB18" t="n">
        <v>1</v>
      </c>
      <c r="AC18" t="n">
        <v>41</v>
      </c>
      <c r="AD18" s="29" t="inlineStr">
        <is>
          <t>131421090000</t>
        </is>
      </c>
      <c r="AE18" s="28" t="inlineStr">
        <is>
          <t>166054694380.0</t>
        </is>
      </c>
      <c r="AF18" s="28">
        <f>(AE18-AD18)</f>
        <v/>
      </c>
    </row>
    <row r="19">
      <c r="A19" t="n">
        <v>26</v>
      </c>
      <c r="B19" t="inlineStr">
        <is>
          <t>100-350</t>
        </is>
      </c>
      <c r="C19" t="inlineStr">
        <is>
          <t>251</t>
        </is>
      </c>
      <c r="D19">
        <f>(AE19/AD19)*100</f>
        <v/>
      </c>
      <c r="E19" t="n">
        <v>37861</v>
      </c>
      <c r="F19">
        <f>V19+Y19+AB19</f>
        <v/>
      </c>
      <c r="G19" t="n">
        <v>128.9721115537849</v>
      </c>
      <c r="H19" t="n">
        <v>11.31474103585657</v>
      </c>
      <c r="I19">
        <f>G19+H19</f>
        <v/>
      </c>
      <c r="J19" t="n">
        <v>10.37450199203187</v>
      </c>
      <c r="K19" t="n">
        <v>0.8366533864541833</v>
      </c>
      <c r="L19" s="9">
        <f>(Z19+AC19)/C19</f>
        <v/>
      </c>
      <c r="M19" t="n">
        <v>0.1713147410358566</v>
      </c>
      <c r="N19" t="n">
        <v>0.00796812749003984</v>
      </c>
      <c r="O19">
        <f>AC19/C19</f>
        <v/>
      </c>
      <c r="P19" t="n">
        <v>128.5896414342629</v>
      </c>
      <c r="Q19" t="inlineStr">
        <is>
          <t>86/251</t>
        </is>
      </c>
      <c r="R19" t="n">
        <v>34.26294820717131</v>
      </c>
      <c r="S19" t="inlineStr">
        <is>
          <t>136/251</t>
        </is>
      </c>
      <c r="T19" t="n">
        <v>54.18326693227091</v>
      </c>
      <c r="U19" t="n">
        <v>32372</v>
      </c>
      <c r="V19" t="n">
        <v>2840</v>
      </c>
      <c r="W19" t="n">
        <v>35212</v>
      </c>
      <c r="X19" t="n">
        <v>2214</v>
      </c>
      <c r="Y19" t="n">
        <v>210</v>
      </c>
      <c r="Z19" s="9" t="n">
        <v>2604</v>
      </c>
      <c r="AA19" t="n">
        <v>43</v>
      </c>
      <c r="AB19" t="n">
        <v>2</v>
      </c>
      <c r="AC19" t="n">
        <v>45</v>
      </c>
      <c r="AD19" s="28" t="inlineStr">
        <is>
          <t>131421090000</t>
        </is>
      </c>
      <c r="AE19" s="28" t="inlineStr">
        <is>
          <t>171413667160.0</t>
        </is>
      </c>
      <c r="AF19" s="28">
        <f>(AE19-AD19)</f>
        <v/>
      </c>
    </row>
    <row r="20">
      <c r="A20" t="n">
        <v>27</v>
      </c>
      <c r="B20" t="inlineStr">
        <is>
          <t>100-350</t>
        </is>
      </c>
      <c r="C20" t="inlineStr">
        <is>
          <t>251</t>
        </is>
      </c>
      <c r="D20">
        <f>(AE20/AD20)*100</f>
        <v/>
      </c>
      <c r="E20" t="n">
        <v>37873</v>
      </c>
      <c r="F20">
        <f>V20+Y20+AB20</f>
        <v/>
      </c>
      <c r="G20" t="n">
        <v>128.8525896414343</v>
      </c>
      <c r="H20" s="7" t="n">
        <v>11.46613545816733</v>
      </c>
      <c r="I20">
        <f>G20+H20</f>
        <v/>
      </c>
      <c r="J20" t="n">
        <v>10.38247011952191</v>
      </c>
      <c r="K20" t="n">
        <v>0.7808764940239044</v>
      </c>
      <c r="L20" s="14">
        <f>(Z20+AC20)/C20</f>
        <v/>
      </c>
      <c r="M20" t="n">
        <v>0.1832669322709163</v>
      </c>
      <c r="N20" t="n">
        <v>0.00398406374501992</v>
      </c>
      <c r="O20">
        <f>AC20/C20</f>
        <v/>
      </c>
      <c r="P20" t="n">
        <v>128.4980079681275</v>
      </c>
      <c r="Q20" t="inlineStr">
        <is>
          <t>84/251</t>
        </is>
      </c>
      <c r="R20" t="n">
        <v>33.46613545816733</v>
      </c>
      <c r="S20" t="inlineStr">
        <is>
          <t>137/251</t>
        </is>
      </c>
      <c r="T20" t="n">
        <v>54.58167330677291</v>
      </c>
      <c r="U20" t="n">
        <v>32342</v>
      </c>
      <c r="V20" t="n">
        <v>2878</v>
      </c>
      <c r="W20" t="n">
        <v>35220</v>
      </c>
      <c r="X20" t="n">
        <v>2222</v>
      </c>
      <c r="Y20" t="n">
        <v>196</v>
      </c>
      <c r="Z20" s="9" t="n">
        <v>2606</v>
      </c>
      <c r="AA20" t="n">
        <v>46</v>
      </c>
      <c r="AB20" t="n">
        <v>1</v>
      </c>
      <c r="AC20" s="8" t="n">
        <v>47</v>
      </c>
      <c r="AD20" s="29" t="inlineStr">
        <is>
          <t>131421090000</t>
        </is>
      </c>
      <c r="AE20" s="28" t="inlineStr">
        <is>
          <t>170433084440.0</t>
        </is>
      </c>
      <c r="AF20" s="28">
        <f>(AE20-AD20)</f>
        <v/>
      </c>
    </row>
    <row r="21">
      <c r="A21" t="n">
        <v>28</v>
      </c>
      <c r="B21" t="inlineStr">
        <is>
          <t>100-350</t>
        </is>
      </c>
      <c r="C21" t="inlineStr">
        <is>
          <t>251</t>
        </is>
      </c>
      <c r="D21">
        <f>(AE21/AD21)*100</f>
        <v/>
      </c>
      <c r="E21" t="n">
        <v>37874</v>
      </c>
      <c r="F21">
        <f>V21+Y21+AB21</f>
        <v/>
      </c>
      <c r="G21" t="n">
        <v>128.796812749004</v>
      </c>
      <c r="H21" t="n">
        <v>11.55776892430279</v>
      </c>
      <c r="I21" s="7">
        <f>G21+H21</f>
        <v/>
      </c>
      <c r="J21" t="n">
        <v>10.35856573705179</v>
      </c>
      <c r="K21" t="n">
        <v>0.7290836653386454</v>
      </c>
      <c r="L21">
        <f>(Z21+AC21)/C21</f>
        <v/>
      </c>
      <c r="M21" t="n">
        <v>0.1713147410358566</v>
      </c>
      <c r="N21" t="n">
        <v>0.00796812749003984</v>
      </c>
      <c r="O21">
        <f>AC21/C21</f>
        <v/>
      </c>
      <c r="P21" t="n">
        <v>128.4541832669323</v>
      </c>
      <c r="Q21" t="inlineStr">
        <is>
          <t>87/251</t>
        </is>
      </c>
      <c r="R21" t="n">
        <v>34.66135458167331</v>
      </c>
      <c r="S21" t="inlineStr">
        <is>
          <t>130/251</t>
        </is>
      </c>
      <c r="T21" t="n">
        <v>51.79282868525896</v>
      </c>
      <c r="U21" t="n">
        <v>32328</v>
      </c>
      <c r="V21" t="n">
        <v>2901</v>
      </c>
      <c r="W21" t="n">
        <v>35229</v>
      </c>
      <c r="X21" t="n">
        <v>2237</v>
      </c>
      <c r="Y21" t="n">
        <v>183</v>
      </c>
      <c r="Z21" s="9" t="n">
        <v>2600</v>
      </c>
      <c r="AA21" t="n">
        <v>43</v>
      </c>
      <c r="AB21" t="n">
        <v>2</v>
      </c>
      <c r="AC21" t="n">
        <v>45</v>
      </c>
      <c r="AD21" s="29" t="inlineStr">
        <is>
          <t>131421090000</t>
        </is>
      </c>
      <c r="AE21" s="28" t="inlineStr">
        <is>
          <t>167688031760.0</t>
        </is>
      </c>
      <c r="AF21" s="28">
        <f>(AE21-AD21)</f>
        <v/>
      </c>
    </row>
    <row r="22">
      <c r="A22" t="n">
        <v>29</v>
      </c>
      <c r="B22" t="inlineStr">
        <is>
          <t>100-350</t>
        </is>
      </c>
      <c r="C22" t="inlineStr">
        <is>
          <t>251</t>
        </is>
      </c>
      <c r="D22">
        <f>(AE22/AD22)*100</f>
        <v/>
      </c>
      <c r="E22" t="n">
        <v>37826</v>
      </c>
      <c r="F22">
        <f>V22+Y22+AB22</f>
        <v/>
      </c>
      <c r="G22" t="n">
        <v>128.7011952191235</v>
      </c>
      <c r="H22" s="9" t="n">
        <v>11.44621513944223</v>
      </c>
      <c r="I22">
        <f>G22+H22</f>
        <v/>
      </c>
      <c r="J22" t="n">
        <v>10.39840637450199</v>
      </c>
      <c r="K22" t="n">
        <v>0.8167330677290837</v>
      </c>
      <c r="L22" s="9">
        <f>(Z22+AC22)/C22</f>
        <v/>
      </c>
      <c r="M22" t="n">
        <v>0.1394422310756972</v>
      </c>
      <c r="N22" t="n">
        <v>0.01593625498007968</v>
      </c>
      <c r="O22">
        <f>AC22/C22</f>
        <v/>
      </c>
      <c r="P22" t="n">
        <v>128.4701195219124</v>
      </c>
      <c r="Q22" t="inlineStr">
        <is>
          <t>85/251</t>
        </is>
      </c>
      <c r="R22" t="n">
        <v>33.86454183266932</v>
      </c>
      <c r="S22" t="inlineStr">
        <is>
          <t>132/251</t>
        </is>
      </c>
      <c r="T22" t="n">
        <v>52.58964143426294</v>
      </c>
      <c r="U22" t="n">
        <v>32304</v>
      </c>
      <c r="V22" t="n">
        <v>2873</v>
      </c>
      <c r="W22" t="n">
        <v>35177</v>
      </c>
      <c r="X22" t="n">
        <v>2249</v>
      </c>
      <c r="Y22" t="n">
        <v>205</v>
      </c>
      <c r="Z22" s="16" t="n">
        <v>2610</v>
      </c>
      <c r="AA22" t="n">
        <v>35</v>
      </c>
      <c r="AB22" t="n">
        <v>4</v>
      </c>
      <c r="AC22" t="n">
        <v>39</v>
      </c>
      <c r="AD22" s="29" t="inlineStr">
        <is>
          <t>131421090000</t>
        </is>
      </c>
      <c r="AE22" s="28" t="inlineStr">
        <is>
          <t>166820986360.0</t>
        </is>
      </c>
      <c r="AF22" s="28">
        <f>(AE22-AD22)</f>
        <v/>
      </c>
    </row>
    <row r="23">
      <c r="A23" t="n">
        <v>30</v>
      </c>
      <c r="B23" t="inlineStr">
        <is>
          <t>100-350</t>
        </is>
      </c>
      <c r="C23" t="inlineStr">
        <is>
          <t>251</t>
        </is>
      </c>
      <c r="D23">
        <f>(AE23/AD23)*100</f>
        <v/>
      </c>
      <c r="E23" t="n">
        <v>37854</v>
      </c>
      <c r="F23">
        <f>V23+Y23+AB23</f>
        <v/>
      </c>
      <c r="G23" t="n">
        <v>128.6812749003984</v>
      </c>
      <c r="H23" t="n">
        <v>11.68525896414343</v>
      </c>
      <c r="I23" s="7">
        <f>G23+H23</f>
        <v/>
      </c>
      <c r="J23" t="n">
        <v>10.29083665338645</v>
      </c>
      <c r="K23" s="9" t="n">
        <v>0.8725099601593626</v>
      </c>
      <c r="L23">
        <f>(Z23+AC23)/C23</f>
        <v/>
      </c>
      <c r="M23" t="n">
        <v>0.1434262948207171</v>
      </c>
      <c r="N23" t="n">
        <v>0.01195219123505976</v>
      </c>
      <c r="O23">
        <f>AC23/C23</f>
        <v/>
      </c>
      <c r="P23" t="n">
        <v>128.1792828685259</v>
      </c>
      <c r="Q23" t="inlineStr">
        <is>
          <t>80/251</t>
        </is>
      </c>
      <c r="R23" s="7" t="n">
        <v>31.87250996015936</v>
      </c>
      <c r="S23" t="inlineStr">
        <is>
          <t>140/251</t>
        </is>
      </c>
      <c r="T23" t="n">
        <v>55.77689243027888</v>
      </c>
      <c r="U23" t="n">
        <v>32299</v>
      </c>
      <c r="V23" t="n">
        <v>2933</v>
      </c>
      <c r="W23" t="n">
        <v>35232</v>
      </c>
      <c r="X23" t="n">
        <v>2208</v>
      </c>
      <c r="Y23" t="n">
        <v>219</v>
      </c>
      <c r="Z23" t="n">
        <v>2583</v>
      </c>
      <c r="AA23" t="n">
        <v>36</v>
      </c>
      <c r="AB23" t="n">
        <v>3</v>
      </c>
      <c r="AC23" t="n">
        <v>39</v>
      </c>
      <c r="AD23" s="28" t="inlineStr">
        <is>
          <t>131421090000</t>
        </is>
      </c>
      <c r="AE23" s="28" t="inlineStr">
        <is>
          <t>167310505260.0</t>
        </is>
      </c>
      <c r="AF23" s="28">
        <f>(AE23-AD23)</f>
        <v/>
      </c>
    </row>
    <row r="24">
      <c r="A24" t="n">
        <v>31</v>
      </c>
      <c r="B24" t="inlineStr">
        <is>
          <t>100-350</t>
        </is>
      </c>
      <c r="C24" t="inlineStr">
        <is>
          <t>251</t>
        </is>
      </c>
      <c r="D24">
        <f>(AE24/AD24)*100</f>
        <v/>
      </c>
      <c r="E24" t="n">
        <v>37735</v>
      </c>
      <c r="F24">
        <f>V24+Y24+AB24</f>
        <v/>
      </c>
      <c r="G24" t="n">
        <v>128.3466135458167</v>
      </c>
      <c r="H24" t="n">
        <v>11.50996015936255</v>
      </c>
      <c r="I24">
        <f>G24+H24</f>
        <v/>
      </c>
      <c r="J24" t="n">
        <v>10.29083665338645</v>
      </c>
      <c r="K24" t="n">
        <v>0.7370517928286853</v>
      </c>
      <c r="L24">
        <f>(Z24+AC24)/C24</f>
        <v/>
      </c>
      <c r="M24" s="9" t="n">
        <v>0.1872509960159363</v>
      </c>
      <c r="N24" t="n">
        <v>0.00398406374501992</v>
      </c>
      <c r="O24" s="7">
        <f>AC24/C24</f>
        <v/>
      </c>
      <c r="P24" t="n">
        <v>127.9402390438247</v>
      </c>
      <c r="Q24" t="inlineStr">
        <is>
          <t>78/251</t>
        </is>
      </c>
      <c r="R24" s="7" t="n">
        <v>31.07569721115538</v>
      </c>
      <c r="S24" t="inlineStr">
        <is>
          <t>139/251</t>
        </is>
      </c>
      <c r="T24" t="n">
        <v>55.37848605577689</v>
      </c>
      <c r="U24" t="n">
        <v>32215</v>
      </c>
      <c r="V24" t="n">
        <v>2889</v>
      </c>
      <c r="W24" t="n">
        <v>35104</v>
      </c>
      <c r="X24" t="n">
        <v>2206</v>
      </c>
      <c r="Y24" t="n">
        <v>185</v>
      </c>
      <c r="Z24" t="n">
        <v>2583</v>
      </c>
      <c r="AA24" t="n">
        <v>47</v>
      </c>
      <c r="AB24" t="n">
        <v>1</v>
      </c>
      <c r="AC24" s="7" t="n">
        <v>48</v>
      </c>
      <c r="AD24" s="28" t="inlineStr">
        <is>
          <t>130897500000</t>
        </is>
      </c>
      <c r="AE24" s="28" t="inlineStr">
        <is>
          <t>169606200340.0</t>
        </is>
      </c>
      <c r="AF24" s="28">
        <f>(AE24-AD24)</f>
        <v/>
      </c>
    </row>
    <row r="25">
      <c r="A25" t="n">
        <v>32</v>
      </c>
      <c r="B25" t="inlineStr">
        <is>
          <t>100-350</t>
        </is>
      </c>
      <c r="C25" t="inlineStr">
        <is>
          <t>251</t>
        </is>
      </c>
      <c r="D25">
        <f>(AE25/AD25)*100</f>
        <v/>
      </c>
      <c r="E25" t="n">
        <v>37755</v>
      </c>
      <c r="F25">
        <f>V25+Y25+AB25</f>
        <v/>
      </c>
      <c r="G25" t="n">
        <v>128.1434262948207</v>
      </c>
      <c r="H25" t="n">
        <v>11.81274900398406</v>
      </c>
      <c r="I25">
        <f>G25+H25</f>
        <v/>
      </c>
      <c r="J25" t="n">
        <v>10.28685258964143</v>
      </c>
      <c r="K25" s="7" t="n">
        <v>0.8685258964143426</v>
      </c>
      <c r="L25">
        <f>(Z25+AC25)/C25</f>
        <v/>
      </c>
      <c r="M25" t="n">
        <v>0.1713147410358566</v>
      </c>
      <c r="N25" t="n">
        <v>0.00398406374501992</v>
      </c>
      <c r="O25">
        <f>AC25/C25</f>
        <v/>
      </c>
      <c r="P25" t="n">
        <v>127.5816733067729</v>
      </c>
      <c r="Q25" t="inlineStr">
        <is>
          <t>73/251</t>
        </is>
      </c>
      <c r="R25" s="9" t="n">
        <v>29.08366533864542</v>
      </c>
      <c r="S25" t="inlineStr">
        <is>
          <t>162/251</t>
        </is>
      </c>
      <c r="T25" s="14" t="n">
        <v>64.5418326693227</v>
      </c>
      <c r="U25" t="n">
        <v>32164</v>
      </c>
      <c r="V25" t="n">
        <v>2965</v>
      </c>
      <c r="W25" t="n">
        <v>35129</v>
      </c>
      <c r="X25" t="n">
        <v>2188</v>
      </c>
      <c r="Y25" t="n">
        <v>218</v>
      </c>
      <c r="Z25" t="n">
        <v>2582</v>
      </c>
      <c r="AA25" t="n">
        <v>43</v>
      </c>
      <c r="AB25" t="n">
        <v>1</v>
      </c>
      <c r="AC25" t="n">
        <v>44</v>
      </c>
      <c r="AD25" s="28" t="inlineStr">
        <is>
          <t>130975000000</t>
        </is>
      </c>
      <c r="AE25" s="28" t="inlineStr">
        <is>
          <t>170131912800.0</t>
        </is>
      </c>
      <c r="AF25" s="28">
        <f>(AE25-AD25)</f>
        <v/>
      </c>
    </row>
    <row r="26">
      <c r="A26" t="n">
        <v>33</v>
      </c>
      <c r="B26" t="inlineStr">
        <is>
          <t>100-350</t>
        </is>
      </c>
      <c r="C26" t="inlineStr">
        <is>
          <t>251</t>
        </is>
      </c>
      <c r="D26">
        <f>(AE26/AD26)*100</f>
        <v/>
      </c>
      <c r="E26" t="n">
        <v>37924</v>
      </c>
      <c r="F26">
        <f>V26+Y26+AB26</f>
        <v/>
      </c>
      <c r="G26" t="n">
        <v>129.0478087649402</v>
      </c>
      <c r="H26" t="n">
        <v>11.53386454183267</v>
      </c>
      <c r="I26" s="14">
        <f>G26+H26</f>
        <v/>
      </c>
      <c r="J26" t="n">
        <v>10.32669322709163</v>
      </c>
      <c r="K26" t="n">
        <v>0.8286852589641435</v>
      </c>
      <c r="L26">
        <f>(Z26+AC26)/C26</f>
        <v/>
      </c>
      <c r="M26" t="n">
        <v>0.1792828685258964</v>
      </c>
      <c r="N26" t="n">
        <v>0.00398406374501992</v>
      </c>
      <c r="O26">
        <f>AC26/C26</f>
        <v/>
      </c>
      <c r="P26" t="n">
        <v>128.4621513944223</v>
      </c>
      <c r="Q26" t="inlineStr">
        <is>
          <t>81/251</t>
        </is>
      </c>
      <c r="R26" t="n">
        <v>32.27091633466135</v>
      </c>
      <c r="S26" t="inlineStr">
        <is>
          <t>146/251</t>
        </is>
      </c>
      <c r="T26" t="n">
        <v>58.16733067729084</v>
      </c>
      <c r="U26" t="n">
        <v>32391</v>
      </c>
      <c r="V26" t="n">
        <v>2895</v>
      </c>
      <c r="W26" t="n">
        <v>35286</v>
      </c>
      <c r="X26" t="n">
        <v>2200</v>
      </c>
      <c r="Y26" t="n">
        <v>208</v>
      </c>
      <c r="Z26" s="7" t="n">
        <v>2592</v>
      </c>
      <c r="AA26" t="n">
        <v>45</v>
      </c>
      <c r="AB26" t="n">
        <v>1</v>
      </c>
      <c r="AC26" t="n">
        <v>46</v>
      </c>
      <c r="AD26" s="28" t="inlineStr">
        <is>
          <t>131498900000</t>
        </is>
      </c>
      <c r="AE26" s="28" t="inlineStr">
        <is>
          <t>170939923080.0</t>
        </is>
      </c>
      <c r="AF26" s="28">
        <f>(AE26-AD26)</f>
        <v/>
      </c>
    </row>
    <row r="27">
      <c r="A27" t="n">
        <v>34</v>
      </c>
      <c r="B27" t="inlineStr">
        <is>
          <t>100-350</t>
        </is>
      </c>
      <c r="C27" t="inlineStr">
        <is>
          <t>251</t>
        </is>
      </c>
      <c r="D27">
        <f>(AE27/AD27)*100</f>
        <v/>
      </c>
      <c r="E27" t="n">
        <v>37887</v>
      </c>
      <c r="F27">
        <f>V27+Y27+AB27</f>
        <v/>
      </c>
      <c r="G27" t="n">
        <v>128.7250996015936</v>
      </c>
      <c r="H27" t="n">
        <v>11.74900398406374</v>
      </c>
      <c r="I27" s="9">
        <f>G27+H27</f>
        <v/>
      </c>
      <c r="J27" t="n">
        <v>10.31075697211155</v>
      </c>
      <c r="K27" t="n">
        <v>0.8645418326693227</v>
      </c>
      <c r="L27">
        <f>(Z27+AC27)/C27</f>
        <v/>
      </c>
      <c r="M27" t="n">
        <v>0.151394422310757</v>
      </c>
      <c r="N27" t="n">
        <v>0.00796812749003984</v>
      </c>
      <c r="O27">
        <f>AC27/C27</f>
        <v/>
      </c>
      <c r="P27" t="n">
        <v>128.207171314741</v>
      </c>
      <c r="Q27" t="inlineStr">
        <is>
          <t>81/251</t>
        </is>
      </c>
      <c r="R27" t="n">
        <v>32.27091633466135</v>
      </c>
      <c r="S27" t="inlineStr">
        <is>
          <t>140/251</t>
        </is>
      </c>
      <c r="T27" t="n">
        <v>55.77689243027888</v>
      </c>
      <c r="U27" t="n">
        <v>32310</v>
      </c>
      <c r="V27" t="n">
        <v>2949</v>
      </c>
      <c r="W27" t="n">
        <v>35259</v>
      </c>
      <c r="X27" t="n">
        <v>2211</v>
      </c>
      <c r="Y27" t="n">
        <v>217</v>
      </c>
      <c r="Z27" t="n">
        <v>2588</v>
      </c>
      <c r="AA27" t="n">
        <v>38</v>
      </c>
      <c r="AB27" t="n">
        <v>2</v>
      </c>
      <c r="AC27" t="n">
        <v>40</v>
      </c>
      <c r="AD27" s="28" t="inlineStr">
        <is>
          <t>131498900000</t>
        </is>
      </c>
      <c r="AE27" s="28" t="inlineStr">
        <is>
          <t>166858889160.0</t>
        </is>
      </c>
      <c r="AF27" s="28">
        <f>(AE27-AD27)</f>
        <v/>
      </c>
    </row>
    <row r="28">
      <c r="A28" t="n">
        <v>35</v>
      </c>
      <c r="B28" t="inlineStr">
        <is>
          <t>100-350</t>
        </is>
      </c>
      <c r="C28" t="inlineStr">
        <is>
          <t>251</t>
        </is>
      </c>
      <c r="D28">
        <f>(AE28/AD28)*100</f>
        <v/>
      </c>
      <c r="E28" t="n">
        <v>37875</v>
      </c>
      <c r="F28">
        <f>V28+Y28+AB28</f>
        <v/>
      </c>
      <c r="G28" t="n">
        <v>128.8844621513944</v>
      </c>
      <c r="H28" t="n">
        <v>11.55378486055777</v>
      </c>
      <c r="I28" s="7">
        <f>G28+H28</f>
        <v/>
      </c>
      <c r="J28" t="n">
        <v>10.30677290836653</v>
      </c>
      <c r="K28" t="n">
        <v>0.796812749003984</v>
      </c>
      <c r="L28">
        <f>(Z28+AC28)/C28</f>
        <v/>
      </c>
      <c r="M28" t="n">
        <v>0.1354581673306773</v>
      </c>
      <c r="N28" t="n">
        <v>0.01593625498007968</v>
      </c>
      <c r="O28">
        <f>AC28/C28</f>
        <v/>
      </c>
      <c r="P28" t="n">
        <v>128.4621513944223</v>
      </c>
      <c r="Q28" t="inlineStr">
        <is>
          <t>87/251</t>
        </is>
      </c>
      <c r="R28" t="n">
        <v>34.66135458167331</v>
      </c>
      <c r="S28" t="inlineStr">
        <is>
          <t>139/251</t>
        </is>
      </c>
      <c r="T28" t="n">
        <v>55.37848605577689</v>
      </c>
      <c r="U28" t="n">
        <v>32350</v>
      </c>
      <c r="V28" t="n">
        <v>2900</v>
      </c>
      <c r="W28" t="n">
        <v>35250</v>
      </c>
      <c r="X28" t="n">
        <v>2235</v>
      </c>
      <c r="Y28" t="n">
        <v>200</v>
      </c>
      <c r="Z28" t="n">
        <v>2587</v>
      </c>
      <c r="AA28" t="n">
        <v>34</v>
      </c>
      <c r="AB28" t="n">
        <v>4</v>
      </c>
      <c r="AC28" t="n">
        <v>38</v>
      </c>
      <c r="AD28" s="28" t="inlineStr">
        <is>
          <t>131498900000</t>
        </is>
      </c>
      <c r="AE28" s="28" t="inlineStr">
        <is>
          <t>164732142100.0</t>
        </is>
      </c>
      <c r="AF28" s="28">
        <f>(AE28-AD28)</f>
        <v/>
      </c>
    </row>
    <row r="29">
      <c r="A29" t="n">
        <v>36</v>
      </c>
      <c r="B29" t="inlineStr">
        <is>
          <t>100-350</t>
        </is>
      </c>
      <c r="C29" t="inlineStr">
        <is>
          <t>251</t>
        </is>
      </c>
      <c r="D29" s="7">
        <f>(AE29/AD29)*100</f>
        <v/>
      </c>
      <c r="E29" t="n">
        <v>37914</v>
      </c>
      <c r="F29">
        <f>V29+Y29+AB29</f>
        <v/>
      </c>
      <c r="G29" t="n">
        <v>128.9043824701195</v>
      </c>
      <c r="H29" t="n">
        <v>11.61354581673307</v>
      </c>
      <c r="I29" s="9">
        <f>G29+H29</f>
        <v/>
      </c>
      <c r="J29" t="n">
        <v>10.34661354581673</v>
      </c>
      <c r="K29" t="n">
        <v>0.8207171314741036</v>
      </c>
      <c r="L29">
        <f>(Z29+AC29)/C29</f>
        <v/>
      </c>
      <c r="M29" t="n">
        <v>0.1633466135458167</v>
      </c>
      <c r="N29" t="n">
        <v>0.02390438247011952</v>
      </c>
      <c r="O29">
        <f>AC29/C29</f>
        <v/>
      </c>
      <c r="P29" t="n">
        <v>128.3705179282869</v>
      </c>
      <c r="Q29" t="inlineStr">
        <is>
          <t>81/251</t>
        </is>
      </c>
      <c r="R29" t="n">
        <v>32.27091633466135</v>
      </c>
      <c r="S29" t="inlineStr">
        <is>
          <t>150/251</t>
        </is>
      </c>
      <c r="T29" t="n">
        <v>59.76095617529881</v>
      </c>
      <c r="U29" t="n">
        <v>32355</v>
      </c>
      <c r="V29" t="n">
        <v>2915</v>
      </c>
      <c r="W29" t="n">
        <v>35270</v>
      </c>
      <c r="X29" t="n">
        <v>2203</v>
      </c>
      <c r="Y29" t="n">
        <v>206</v>
      </c>
      <c r="Z29" s="7" t="n">
        <v>2597</v>
      </c>
      <c r="AA29" t="n">
        <v>41</v>
      </c>
      <c r="AB29" s="9" t="n">
        <v>6</v>
      </c>
      <c r="AC29" s="8" t="n">
        <v>47</v>
      </c>
      <c r="AD29" s="28" t="inlineStr">
        <is>
          <t>131498900000</t>
        </is>
      </c>
      <c r="AE29" s="28" t="inlineStr">
        <is>
          <t>179650048180.0</t>
        </is>
      </c>
      <c r="AF29" s="28">
        <f>(AE29-AD29)</f>
        <v/>
      </c>
    </row>
    <row r="30">
      <c r="A30" t="n">
        <v>37</v>
      </c>
      <c r="B30" t="inlineStr">
        <is>
          <t>100-350</t>
        </is>
      </c>
      <c r="C30" t="inlineStr">
        <is>
          <t>251</t>
        </is>
      </c>
      <c r="D30">
        <f>(AE30/AD30)*100</f>
        <v/>
      </c>
      <c r="E30" t="n">
        <v>37858</v>
      </c>
      <c r="F30">
        <f>V30+Y30+AB30</f>
        <v/>
      </c>
      <c r="G30" t="n">
        <v>128.5896414342629</v>
      </c>
      <c r="H30" t="n">
        <v>11.76892430278884</v>
      </c>
      <c r="I30" s="7">
        <f>G30+H30</f>
        <v/>
      </c>
      <c r="J30" t="n">
        <v>10.31872509960159</v>
      </c>
      <c r="K30" t="n">
        <v>0.8207171314741036</v>
      </c>
      <c r="L30">
        <f>(Z30+AC30)/C30</f>
        <v/>
      </c>
      <c r="M30" t="n">
        <v>0.1314741035856574</v>
      </c>
      <c r="N30" t="n">
        <v>0.0199203187250996</v>
      </c>
      <c r="O30">
        <f>AC30/C30</f>
        <v/>
      </c>
      <c r="P30" t="n">
        <v>128.2191235059761</v>
      </c>
      <c r="Q30" t="inlineStr">
        <is>
          <t>89/251</t>
        </is>
      </c>
      <c r="R30" t="n">
        <v>35.45816733067729</v>
      </c>
      <c r="S30" t="inlineStr">
        <is>
          <t>142/251</t>
        </is>
      </c>
      <c r="T30" t="n">
        <v>56.57370517928288</v>
      </c>
      <c r="U30" t="n">
        <v>32276</v>
      </c>
      <c r="V30" t="n">
        <v>2954</v>
      </c>
      <c r="W30" t="n">
        <v>35230</v>
      </c>
      <c r="X30" t="n">
        <v>2232</v>
      </c>
      <c r="Y30" t="n">
        <v>206</v>
      </c>
      <c r="Z30" s="7" t="n">
        <v>2590</v>
      </c>
      <c r="AA30" t="n">
        <v>33</v>
      </c>
      <c r="AB30" s="7" t="n">
        <v>5</v>
      </c>
      <c r="AC30" t="n">
        <v>38</v>
      </c>
      <c r="AD30" s="28" t="inlineStr">
        <is>
          <t>131498900000</t>
        </is>
      </c>
      <c r="AE30" s="28" t="inlineStr">
        <is>
          <t>167470427040.0</t>
        </is>
      </c>
      <c r="AF30" s="28">
        <f>(AE30-AD30)</f>
        <v/>
      </c>
    </row>
    <row r="31">
      <c r="A31" t="n">
        <v>38</v>
      </c>
      <c r="B31" t="inlineStr">
        <is>
          <t>100-350</t>
        </is>
      </c>
      <c r="C31" t="inlineStr">
        <is>
          <t>251</t>
        </is>
      </c>
      <c r="D31">
        <f>(AE31/AD31)*100</f>
        <v/>
      </c>
      <c r="E31" t="n">
        <v>37880</v>
      </c>
      <c r="F31">
        <f>V31+Y31+AB31</f>
        <v/>
      </c>
      <c r="G31" t="n">
        <v>128.5378486055777</v>
      </c>
      <c r="H31" t="n">
        <v>11.89243027888446</v>
      </c>
      <c r="I31" s="7">
        <f>G31+H31</f>
        <v/>
      </c>
      <c r="J31" t="n">
        <v>10.31872509960159</v>
      </c>
      <c r="K31" t="n">
        <v>0.8167330677290837</v>
      </c>
      <c r="L31">
        <f>(Z31+AC31)/C31</f>
        <v/>
      </c>
      <c r="M31" t="n">
        <v>0.1434262948207171</v>
      </c>
      <c r="N31" t="n">
        <v>0.02390438247011952</v>
      </c>
      <c r="O31">
        <f>AC31/C31</f>
        <v/>
      </c>
      <c r="P31" t="n">
        <v>128.0956175298805</v>
      </c>
      <c r="Q31" t="inlineStr">
        <is>
          <t>84/251</t>
        </is>
      </c>
      <c r="R31" t="n">
        <v>33.46613545816733</v>
      </c>
      <c r="S31" t="inlineStr">
        <is>
          <t>146/251</t>
        </is>
      </c>
      <c r="T31" t="n">
        <v>58.16733067729084</v>
      </c>
      <c r="U31" t="n">
        <v>32263</v>
      </c>
      <c r="V31" t="n">
        <v>2985</v>
      </c>
      <c r="W31" t="n">
        <v>35248</v>
      </c>
      <c r="X31" t="n">
        <v>2217</v>
      </c>
      <c r="Y31" t="n">
        <v>205</v>
      </c>
      <c r="Z31" s="7" t="n">
        <v>2590</v>
      </c>
      <c r="AA31" t="n">
        <v>36</v>
      </c>
      <c r="AB31" s="9" t="n">
        <v>6</v>
      </c>
      <c r="AC31" t="n">
        <v>42</v>
      </c>
      <c r="AD31" s="28" t="inlineStr">
        <is>
          <t>131498900000</t>
        </is>
      </c>
      <c r="AE31" s="28" t="inlineStr">
        <is>
          <t>173795020080.0</t>
        </is>
      </c>
      <c r="AF31" s="28">
        <f>(AE31-AD31)</f>
        <v/>
      </c>
    </row>
    <row r="32">
      <c r="A32" t="n">
        <v>39</v>
      </c>
      <c r="B32" t="inlineStr">
        <is>
          <t>100-350</t>
        </is>
      </c>
      <c r="C32" t="inlineStr">
        <is>
          <t>251</t>
        </is>
      </c>
      <c r="D32">
        <f>(AE32/AD32)*100</f>
        <v/>
      </c>
      <c r="E32" t="n">
        <v>37872</v>
      </c>
      <c r="F32">
        <f>V32+Y32+AB32</f>
        <v/>
      </c>
      <c r="G32" t="n">
        <v>128.3625498007968</v>
      </c>
      <c r="H32" t="n">
        <v>12.05577689243028</v>
      </c>
      <c r="I32" s="7">
        <f>G32+H32</f>
        <v/>
      </c>
      <c r="J32" t="n">
        <v>10.31474103585657</v>
      </c>
      <c r="K32" s="10" t="n">
        <v>0.8127490039840638</v>
      </c>
      <c r="L32">
        <f>(Z32+AC32)/C32</f>
        <v/>
      </c>
      <c r="M32" t="n">
        <v>0.1474103585657371</v>
      </c>
      <c r="N32" t="n">
        <v>0.00398406374501992</v>
      </c>
      <c r="O32">
        <f>AC32/C32</f>
        <v/>
      </c>
      <c r="P32" t="n">
        <v>127.9561752988048</v>
      </c>
      <c r="Q32" t="inlineStr">
        <is>
          <t>84/251</t>
        </is>
      </c>
      <c r="R32" t="n">
        <v>33.46613545816733</v>
      </c>
      <c r="S32" t="inlineStr">
        <is>
          <t>142/251</t>
        </is>
      </c>
      <c r="T32" t="n">
        <v>56.57370517928288</v>
      </c>
      <c r="U32" t="n">
        <v>32219</v>
      </c>
      <c r="V32" t="n">
        <v>3026</v>
      </c>
      <c r="W32" t="n">
        <v>35245</v>
      </c>
      <c r="X32" t="n">
        <v>2233</v>
      </c>
      <c r="Y32" t="n">
        <v>204</v>
      </c>
      <c r="Z32" t="n">
        <v>2589</v>
      </c>
      <c r="AA32" t="n">
        <v>37</v>
      </c>
      <c r="AB32" t="n">
        <v>1</v>
      </c>
      <c r="AC32" t="n">
        <v>38</v>
      </c>
      <c r="AD32" s="28" t="inlineStr">
        <is>
          <t>131498900000</t>
        </is>
      </c>
      <c r="AE32" s="28" t="inlineStr">
        <is>
          <t>161436994660.0</t>
        </is>
      </c>
      <c r="AF32" s="28">
        <f>(AE32-AD32)</f>
        <v/>
      </c>
    </row>
    <row r="33">
      <c r="A33" t="n">
        <v>40</v>
      </c>
      <c r="B33" t="inlineStr">
        <is>
          <t>100-350</t>
        </is>
      </c>
      <c r="C33" t="inlineStr">
        <is>
          <t>251</t>
        </is>
      </c>
      <c r="D33">
        <f>(AE33/AD33)*100</f>
        <v/>
      </c>
      <c r="E33" t="n">
        <v>37866</v>
      </c>
      <c r="F33">
        <f>V33+Y33+AB33</f>
        <v/>
      </c>
      <c r="G33" t="n">
        <v>129.3665338645418</v>
      </c>
      <c r="H33" t="n">
        <v>10.9402390438247</v>
      </c>
      <c r="I33">
        <f>G33+H33</f>
        <v/>
      </c>
      <c r="J33" t="n">
        <v>10.36653386454183</v>
      </c>
      <c r="K33" s="10" t="n">
        <v>0.7928286852589641</v>
      </c>
      <c r="L33" s="9">
        <f>(Z33+AC33)/C33</f>
        <v/>
      </c>
      <c r="M33" t="n">
        <v>0.1832669322709163</v>
      </c>
      <c r="N33" t="n">
        <v>0.00398406374501992</v>
      </c>
      <c r="O33">
        <f>AC33/C33</f>
        <v/>
      </c>
      <c r="P33" t="n">
        <v>129.0438247011952</v>
      </c>
      <c r="Q33" t="inlineStr">
        <is>
          <t>78/251</t>
        </is>
      </c>
      <c r="R33" s="7" t="n">
        <v>31.07569721115538</v>
      </c>
      <c r="S33" t="inlineStr">
        <is>
          <t>143/251</t>
        </is>
      </c>
      <c r="T33" t="n">
        <v>56.97211155378486</v>
      </c>
      <c r="U33" t="n">
        <v>32471</v>
      </c>
      <c r="V33" t="n">
        <v>2746</v>
      </c>
      <c r="W33" t="n">
        <v>35217</v>
      </c>
      <c r="X33" t="n">
        <v>2215</v>
      </c>
      <c r="Y33" t="n">
        <v>199</v>
      </c>
      <c r="Z33" s="9" t="n">
        <v>2602</v>
      </c>
      <c r="AA33" t="n">
        <v>46</v>
      </c>
      <c r="AB33" t="n">
        <v>1</v>
      </c>
      <c r="AC33" s="8" t="n">
        <v>47</v>
      </c>
      <c r="AD33" s="28" t="inlineStr">
        <is>
          <t>131421090000</t>
        </is>
      </c>
      <c r="AE33" s="28" t="inlineStr">
        <is>
          <t>170116780640.0</t>
        </is>
      </c>
      <c r="AF33" s="28">
        <f>(AE33-AD33)</f>
        <v/>
      </c>
    </row>
    <row r="34">
      <c r="A34" t="n">
        <v>41</v>
      </c>
      <c r="B34" t="inlineStr">
        <is>
          <t>100-350</t>
        </is>
      </c>
      <c r="C34" t="inlineStr">
        <is>
          <t>251</t>
        </is>
      </c>
      <c r="D34" s="7">
        <f>(AE34/AD34)*100</f>
        <v/>
      </c>
      <c r="E34" t="n">
        <v>37866</v>
      </c>
      <c r="F34">
        <f>V34+Y34+AB34</f>
        <v/>
      </c>
      <c r="G34" t="n">
        <v>128.6812749003984</v>
      </c>
      <c r="H34" t="n">
        <v>11.62549800796813</v>
      </c>
      <c r="I34">
        <f>G34+H34</f>
        <v/>
      </c>
      <c r="J34" t="n">
        <v>10.36653386454183</v>
      </c>
      <c r="K34" t="n">
        <v>0.8286852589641435</v>
      </c>
      <c r="L34" s="9">
        <f>(Z34+AC34)/C34</f>
        <v/>
      </c>
      <c r="M34" t="n">
        <v>0.1673306772908366</v>
      </c>
      <c r="N34" t="n">
        <v>0.0199203187250996</v>
      </c>
      <c r="O34">
        <f>AC34/C34</f>
        <v/>
      </c>
      <c r="P34" t="n">
        <v>128.2709163346614</v>
      </c>
      <c r="Q34" t="inlineStr">
        <is>
          <t>76/251</t>
        </is>
      </c>
      <c r="R34" s="9" t="n">
        <v>30.2788844621514</v>
      </c>
      <c r="S34" t="inlineStr">
        <is>
          <t>159/251</t>
        </is>
      </c>
      <c r="T34" s="9" t="n">
        <v>63.34661354581673</v>
      </c>
      <c r="U34" t="n">
        <v>32299</v>
      </c>
      <c r="V34" t="n">
        <v>2918</v>
      </c>
      <c r="W34" t="n">
        <v>35217</v>
      </c>
      <c r="X34" t="n">
        <v>2206</v>
      </c>
      <c r="Y34" t="n">
        <v>208</v>
      </c>
      <c r="Z34" s="9" t="n">
        <v>2602</v>
      </c>
      <c r="AA34" t="n">
        <v>42</v>
      </c>
      <c r="AB34" s="7" t="n">
        <v>5</v>
      </c>
      <c r="AC34" s="8" t="n">
        <v>47</v>
      </c>
      <c r="AD34" s="28" t="inlineStr">
        <is>
          <t>131421090000</t>
        </is>
      </c>
      <c r="AE34" s="28" t="inlineStr">
        <is>
          <t>178474283320.0</t>
        </is>
      </c>
      <c r="AF34" s="28">
        <f>(AE34-AD34)</f>
        <v/>
      </c>
    </row>
    <row r="35">
      <c r="A35" t="n">
        <v>42</v>
      </c>
      <c r="B35" t="inlineStr">
        <is>
          <t>100-350</t>
        </is>
      </c>
      <c r="C35" t="inlineStr">
        <is>
          <t>251</t>
        </is>
      </c>
      <c r="D35">
        <f>(AE35/AD35)*100</f>
        <v/>
      </c>
      <c r="E35" t="n">
        <v>37866</v>
      </c>
      <c r="F35">
        <f>V35+Y35+AB35</f>
        <v/>
      </c>
      <c r="G35" t="n">
        <v>128.4501992031873</v>
      </c>
      <c r="H35" t="n">
        <v>11.85657370517928</v>
      </c>
      <c r="I35">
        <f>G35+H35</f>
        <v/>
      </c>
      <c r="J35" t="n">
        <v>10.36653386454183</v>
      </c>
      <c r="K35" t="n">
        <v>0.7649402390438247</v>
      </c>
      <c r="L35" s="9">
        <f>(Z35+AC35)/C35</f>
        <v/>
      </c>
      <c r="M35" t="n">
        <v>0.1792828685258964</v>
      </c>
      <c r="N35" t="n">
        <v>0.00796812749003984</v>
      </c>
      <c r="O35">
        <f>AC35/C35</f>
        <v/>
      </c>
      <c r="P35" t="n">
        <v>128.1075697211155</v>
      </c>
      <c r="Q35" t="inlineStr">
        <is>
          <t>82/251</t>
        </is>
      </c>
      <c r="R35" t="n">
        <v>32.66932270916335</v>
      </c>
      <c r="S35" t="inlineStr">
        <is>
          <t>145/251</t>
        </is>
      </c>
      <c r="T35" t="n">
        <v>57.76892430278885</v>
      </c>
      <c r="U35" t="n">
        <v>32241</v>
      </c>
      <c r="V35" t="n">
        <v>2976</v>
      </c>
      <c r="W35" t="n">
        <v>35217</v>
      </c>
      <c r="X35" t="n">
        <v>2222</v>
      </c>
      <c r="Y35" t="n">
        <v>192</v>
      </c>
      <c r="Z35" s="9" t="n">
        <v>2602</v>
      </c>
      <c r="AA35" t="n">
        <v>45</v>
      </c>
      <c r="AB35" t="n">
        <v>2</v>
      </c>
      <c r="AC35" s="8" t="n">
        <v>47</v>
      </c>
      <c r="AD35" s="28" t="inlineStr">
        <is>
          <t>131421090000</t>
        </is>
      </c>
      <c r="AE35" s="28" t="inlineStr">
        <is>
          <t>171827487600.0</t>
        </is>
      </c>
      <c r="AF35" s="28">
        <f>(AE35-AD35)</f>
        <v/>
      </c>
    </row>
    <row r="36">
      <c r="A36" t="n">
        <v>43</v>
      </c>
      <c r="B36" t="inlineStr">
        <is>
          <t>100-350</t>
        </is>
      </c>
      <c r="C36" t="inlineStr">
        <is>
          <t>251</t>
        </is>
      </c>
      <c r="D36" s="7">
        <f>(AE36/AD36)*100</f>
        <v/>
      </c>
      <c r="E36" t="n">
        <v>37866</v>
      </c>
      <c r="F36">
        <f>V36+Y36+AB36</f>
        <v/>
      </c>
      <c r="G36" t="n">
        <v>128.3585657370518</v>
      </c>
      <c r="H36" s="7" t="n">
        <v>11.94820717131474</v>
      </c>
      <c r="I36">
        <f>G36+H36</f>
        <v/>
      </c>
      <c r="J36" t="n">
        <v>10.36653386454183</v>
      </c>
      <c r="K36" t="n">
        <v>0.8286852589641435</v>
      </c>
      <c r="L36" s="9">
        <f>(Z36+AC36)/C36</f>
        <v/>
      </c>
      <c r="M36" t="n">
        <v>0.1673306772908366</v>
      </c>
      <c r="N36" s="14" t="n">
        <v>0.0199203187250996</v>
      </c>
      <c r="O36">
        <f>AC36/C36</f>
        <v/>
      </c>
      <c r="P36" t="n">
        <v>127.9123505976096</v>
      </c>
      <c r="Q36" t="inlineStr">
        <is>
          <t>78/251</t>
        </is>
      </c>
      <c r="R36" s="7" t="n">
        <v>31.07569721115538</v>
      </c>
      <c r="S36" t="inlineStr">
        <is>
          <t>158/251</t>
        </is>
      </c>
      <c r="T36" s="7" t="n">
        <v>62.94820717131474</v>
      </c>
      <c r="U36" t="n">
        <v>32218</v>
      </c>
      <c r="V36" t="n">
        <v>2999</v>
      </c>
      <c r="W36" t="n">
        <v>35217</v>
      </c>
      <c r="X36" t="n">
        <v>2206</v>
      </c>
      <c r="Y36" t="n">
        <v>208</v>
      </c>
      <c r="Z36" s="9" t="n">
        <v>2602</v>
      </c>
      <c r="AA36" t="n">
        <v>42</v>
      </c>
      <c r="AB36" s="7" t="n">
        <v>5</v>
      </c>
      <c r="AC36" s="8" t="n">
        <v>47</v>
      </c>
      <c r="AD36" s="28" t="inlineStr">
        <is>
          <t>131421090000</t>
        </is>
      </c>
      <c r="AE36" s="28" t="inlineStr">
        <is>
          <t>178902089320.0</t>
        </is>
      </c>
      <c r="AF36" s="28">
        <f>(AE36-AD36)</f>
        <v/>
      </c>
    </row>
    <row r="37">
      <c r="A37" t="n">
        <v>44</v>
      </c>
      <c r="B37" t="inlineStr">
        <is>
          <t>100-350</t>
        </is>
      </c>
      <c r="C37" t="inlineStr">
        <is>
          <t>251</t>
        </is>
      </c>
      <c r="D37" s="8">
        <f>(AE37/AD37)*100</f>
        <v/>
      </c>
      <c r="E37" t="n">
        <v>37866</v>
      </c>
      <c r="F37">
        <f>V37+Y37+AB37</f>
        <v/>
      </c>
      <c r="G37" t="n">
        <v>128.8207171314741</v>
      </c>
      <c r="H37" t="n">
        <v>11.48605577689243</v>
      </c>
      <c r="I37">
        <f>(Z37+AC37)/C37</f>
        <v/>
      </c>
      <c r="J37" t="n">
        <v>10.36653386454183</v>
      </c>
      <c r="K37" t="n">
        <v>0.7569721115537849</v>
      </c>
      <c r="L37" s="9">
        <f>(Z37+AC37)/C37</f>
        <v/>
      </c>
      <c r="M37" t="n">
        <v>0.1673306772908366</v>
      </c>
      <c r="N37" t="n">
        <v>0.0199203187250996</v>
      </c>
      <c r="O37">
        <f>AC37/C37</f>
        <v/>
      </c>
      <c r="P37" t="n">
        <v>128.5059760956175</v>
      </c>
      <c r="Q37" t="inlineStr">
        <is>
          <t>87/251</t>
        </is>
      </c>
      <c r="R37" t="n">
        <v>34.66135458167331</v>
      </c>
      <c r="S37" t="inlineStr">
        <is>
          <t>146/251</t>
        </is>
      </c>
      <c r="T37" t="n">
        <v>58.16733067729084</v>
      </c>
      <c r="U37" t="n">
        <v>32334</v>
      </c>
      <c r="V37" t="n">
        <v>2883</v>
      </c>
      <c r="W37" t="n">
        <v>35217</v>
      </c>
      <c r="X37" t="n">
        <v>2224</v>
      </c>
      <c r="Y37" t="n">
        <v>190</v>
      </c>
      <c r="Z37" s="9" t="n">
        <v>2602</v>
      </c>
      <c r="AA37" t="n">
        <v>42</v>
      </c>
      <c r="AB37" s="7" t="n">
        <v>5</v>
      </c>
      <c r="AC37" s="8" t="n">
        <v>47</v>
      </c>
      <c r="AD37" s="28" t="inlineStr">
        <is>
          <t>131421090000</t>
        </is>
      </c>
      <c r="AE37" s="28" t="inlineStr">
        <is>
          <t>175624043560.0</t>
        </is>
      </c>
      <c r="AF37" s="28">
        <f>(AE37-AD37)</f>
        <v/>
      </c>
    </row>
    <row r="38">
      <c r="A38" t="n">
        <v>45</v>
      </c>
      <c r="B38" t="inlineStr">
        <is>
          <t>100-350</t>
        </is>
      </c>
      <c r="C38" t="inlineStr">
        <is>
          <t>251</t>
        </is>
      </c>
      <c r="D38" s="9">
        <f>(AE38/AD38)*100</f>
        <v/>
      </c>
      <c r="E38" t="n">
        <v>37897</v>
      </c>
      <c r="F38">
        <f>V38+Y38+AB38</f>
        <v/>
      </c>
      <c r="G38" t="n">
        <v>128.6733067729084</v>
      </c>
      <c r="H38" t="n">
        <v>11.75697211155378</v>
      </c>
      <c r="I38">
        <f>(Z38+AC38)/C38</f>
        <v/>
      </c>
      <c r="J38" t="n">
        <v>10.35059760956175</v>
      </c>
      <c r="K38" t="n">
        <v>0.8127490039840638</v>
      </c>
      <c r="L38" s="9">
        <f>(Z38+AC38)/C38</f>
        <v/>
      </c>
      <c r="M38" t="n">
        <v>0.1832669322709163</v>
      </c>
      <c r="N38" t="n">
        <v>0.0199203187250996</v>
      </c>
      <c r="O38" s="16">
        <f>AC38/C38</f>
        <v/>
      </c>
      <c r="P38" t="n">
        <v>128.1513944223107</v>
      </c>
      <c r="Q38" t="inlineStr">
        <is>
          <t>75/251</t>
        </is>
      </c>
      <c r="R38" t="n">
        <v>29.8804780876494</v>
      </c>
      <c r="S38" t="inlineStr">
        <is>
          <t>150/251</t>
        </is>
      </c>
      <c r="T38" t="n">
        <v>59.76095617529881</v>
      </c>
      <c r="U38" t="n">
        <v>32297</v>
      </c>
      <c r="V38" t="n">
        <v>2951</v>
      </c>
      <c r="W38" t="n">
        <v>35248</v>
      </c>
      <c r="X38" t="n">
        <v>2190</v>
      </c>
      <c r="Y38" t="n">
        <v>204</v>
      </c>
      <c r="Z38" s="7" t="n">
        <v>2598</v>
      </c>
      <c r="AA38" t="n">
        <v>46</v>
      </c>
      <c r="AB38" t="n">
        <v>5</v>
      </c>
      <c r="AC38" s="16" t="n">
        <v>51</v>
      </c>
      <c r="AD38" s="28" t="inlineStr">
        <is>
          <t>131421090000</t>
        </is>
      </c>
      <c r="AE38" s="28" t="inlineStr">
        <is>
          <t>182783664440.0</t>
        </is>
      </c>
      <c r="AF38" s="28">
        <f>(AE38-AD38)</f>
        <v/>
      </c>
    </row>
    <row r="39">
      <c r="A39" t="n">
        <v>46</v>
      </c>
      <c r="B39" t="inlineStr">
        <is>
          <t>100-350</t>
        </is>
      </c>
      <c r="C39" t="inlineStr">
        <is>
          <t>251</t>
        </is>
      </c>
      <c r="D39" s="9">
        <f>(AE39/AD39)*100</f>
        <v/>
      </c>
      <c r="E39" t="n">
        <v>37897</v>
      </c>
      <c r="F39">
        <f>V39+Y39+AB39</f>
        <v/>
      </c>
      <c r="G39" t="n">
        <v>128.6653386454183</v>
      </c>
      <c r="H39" t="n">
        <v>11.76494023904382</v>
      </c>
      <c r="I39">
        <f>(Z39+AC39)/C39</f>
        <v/>
      </c>
      <c r="J39" t="n">
        <v>10.35059760956175</v>
      </c>
      <c r="K39" t="n">
        <v>0.8446215139442231</v>
      </c>
      <c r="L39" s="9">
        <f>(Z39+AC39)/C39</f>
        <v/>
      </c>
      <c r="M39" t="n">
        <v>0.1912350597609562</v>
      </c>
      <c r="N39" t="n">
        <v>0.01195219123505976</v>
      </c>
      <c r="O39" s="16">
        <f>AC39/C39</f>
        <v/>
      </c>
      <c r="P39" t="n">
        <v>128.1115537848605</v>
      </c>
      <c r="Q39" t="inlineStr">
        <is>
          <t>77/251</t>
        </is>
      </c>
      <c r="R39" t="n">
        <v>30.67729083665339</v>
      </c>
      <c r="S39" t="inlineStr">
        <is>
          <t>156/251</t>
        </is>
      </c>
      <c r="T39" t="n">
        <v>62.15139442231076</v>
      </c>
      <c r="U39" t="n">
        <v>32295</v>
      </c>
      <c r="V39" t="n">
        <v>2953</v>
      </c>
      <c r="W39" t="n">
        <v>35248</v>
      </c>
      <c r="X39" t="n">
        <v>2182</v>
      </c>
      <c r="Y39" t="n">
        <v>212</v>
      </c>
      <c r="Z39" s="7" t="n">
        <v>2598</v>
      </c>
      <c r="AA39" t="n">
        <v>48</v>
      </c>
      <c r="AB39" t="n">
        <v>3</v>
      </c>
      <c r="AC39" s="16" t="n">
        <v>51</v>
      </c>
      <c r="AD39" s="28" t="inlineStr">
        <is>
          <t>131421090000</t>
        </is>
      </c>
      <c r="AE39" s="28" t="inlineStr">
        <is>
          <t>180922122600.0</t>
        </is>
      </c>
      <c r="AF39" s="28">
        <f>(AE39-AD39)</f>
        <v/>
      </c>
    </row>
    <row r="40">
      <c r="A40" t="n">
        <v>47</v>
      </c>
      <c r="B40" t="inlineStr">
        <is>
          <t>100-350</t>
        </is>
      </c>
      <c r="C40" t="inlineStr">
        <is>
          <t>251</t>
        </is>
      </c>
      <c r="D40" s="9">
        <f>(AE40/AD40)*100</f>
        <v/>
      </c>
      <c r="E40" t="n">
        <v>37925</v>
      </c>
      <c r="F40">
        <f>V40+Y40+AB40</f>
        <v/>
      </c>
      <c r="G40" t="n">
        <v>129.1274900398406</v>
      </c>
      <c r="H40" t="n">
        <v>11.44621513944223</v>
      </c>
      <c r="I40">
        <f>(Z40+AC40)/C40</f>
        <v/>
      </c>
      <c r="J40" t="n">
        <v>10.31872509960159</v>
      </c>
      <c r="K40" t="n">
        <v>0.7569721115537849</v>
      </c>
      <c r="L40">
        <f>(Z40+AC40)/C40</f>
        <v/>
      </c>
      <c r="M40" t="n">
        <v>0.1792828685258964</v>
      </c>
      <c r="N40" t="n">
        <v>0.02390438247011952</v>
      </c>
      <c r="O40" s="16">
        <f>AC40/C40</f>
        <v/>
      </c>
      <c r="P40" t="n">
        <v>128.4940239043825</v>
      </c>
      <c r="Q40" t="inlineStr">
        <is>
          <t>91/251</t>
        </is>
      </c>
      <c r="R40" t="n">
        <v>36.25498007968127</v>
      </c>
      <c r="S40" t="inlineStr">
        <is>
          <t>133/251</t>
        </is>
      </c>
      <c r="T40" t="n">
        <v>52.98804780876494</v>
      </c>
      <c r="U40" t="n">
        <v>32411</v>
      </c>
      <c r="V40" t="n">
        <v>2873</v>
      </c>
      <c r="W40" t="n">
        <v>35284</v>
      </c>
      <c r="X40" t="n">
        <v>2196</v>
      </c>
      <c r="Y40" t="n">
        <v>190</v>
      </c>
      <c r="Z40" s="7" t="n">
        <v>2590</v>
      </c>
      <c r="AA40" t="n">
        <v>45</v>
      </c>
      <c r="AB40" s="9" t="n">
        <v>6</v>
      </c>
      <c r="AC40" s="16" t="n">
        <v>51</v>
      </c>
      <c r="AD40" s="28" t="inlineStr">
        <is>
          <t>131421090000</t>
        </is>
      </c>
      <c r="AE40" s="28" t="inlineStr">
        <is>
          <t>181721462640.0</t>
        </is>
      </c>
      <c r="AF40" s="28">
        <f>(AE40-AD40)</f>
        <v/>
      </c>
    </row>
    <row r="41">
      <c r="A41" t="n">
        <v>48</v>
      </c>
      <c r="B41" t="inlineStr">
        <is>
          <t>100-350</t>
        </is>
      </c>
      <c r="C41" t="inlineStr">
        <is>
          <t>251</t>
        </is>
      </c>
      <c r="D41" s="7">
        <f>(AE41/AD41)*100</f>
        <v/>
      </c>
      <c r="E41" t="n">
        <v>37925</v>
      </c>
      <c r="F41">
        <f>V41+Y41+AB41</f>
        <v/>
      </c>
      <c r="G41" t="n">
        <v>128.6414342629482</v>
      </c>
      <c r="H41" t="n">
        <v>11.93227091633466</v>
      </c>
      <c r="I41">
        <f>(Z41+AC41)/C41</f>
        <v/>
      </c>
      <c r="J41" t="n">
        <v>10.31872509960159</v>
      </c>
      <c r="K41" t="n">
        <v>0.8366533864541833</v>
      </c>
      <c r="L41">
        <f>(Z41+AC41)/C41</f>
        <v/>
      </c>
      <c r="M41" t="n">
        <v>0.1952191235059761</v>
      </c>
      <c r="N41" t="n">
        <v>0.00796812749003984</v>
      </c>
      <c r="O41" s="16">
        <f>AC41/C41</f>
        <v/>
      </c>
      <c r="P41" t="n">
        <v>128.0119521912351</v>
      </c>
      <c r="Q41" t="inlineStr">
        <is>
          <t>66/251</t>
        </is>
      </c>
      <c r="R41" s="9" t="n">
        <v>26.29482071713147</v>
      </c>
      <c r="S41" t="inlineStr">
        <is>
          <t>160/251</t>
        </is>
      </c>
      <c r="T41" s="19" t="n">
        <v>63.74501992031873</v>
      </c>
      <c r="U41" t="n">
        <v>32289</v>
      </c>
      <c r="V41" t="n">
        <v>2995</v>
      </c>
      <c r="W41" t="n">
        <v>35284</v>
      </c>
      <c r="X41" t="n">
        <v>2176</v>
      </c>
      <c r="Y41" t="n">
        <v>210</v>
      </c>
      <c r="Z41" s="7" t="n">
        <v>2590</v>
      </c>
      <c r="AA41" t="n">
        <v>49</v>
      </c>
      <c r="AB41" t="n">
        <v>2</v>
      </c>
      <c r="AC41" s="16" t="n">
        <v>51</v>
      </c>
      <c r="AD41" s="28" t="inlineStr">
        <is>
          <t>131421090000</t>
        </is>
      </c>
      <c r="AE41" s="28" t="inlineStr">
        <is>
          <t>179224630240.0</t>
        </is>
      </c>
      <c r="AF41" s="28">
        <f>(AE41-AD41)</f>
        <v/>
      </c>
    </row>
    <row r="42">
      <c r="A42" t="n">
        <v>49</v>
      </c>
      <c r="B42" t="inlineStr">
        <is>
          <t>100-350</t>
        </is>
      </c>
      <c r="C42" t="inlineStr">
        <is>
          <t>251</t>
        </is>
      </c>
      <c r="D42" s="19">
        <f>(AE42/AD42)*100</f>
        <v/>
      </c>
      <c r="E42" t="n">
        <v>37953</v>
      </c>
      <c r="F42">
        <f>(V42+Y42+AB42)</f>
        <v/>
      </c>
      <c r="G42" t="n">
        <v>128.9043824701195</v>
      </c>
      <c r="H42" t="n">
        <v>11.74900398406374</v>
      </c>
      <c r="I42">
        <f>(Z42+AC42)/C42</f>
        <v/>
      </c>
      <c r="J42" t="n">
        <v>10.33466135458167</v>
      </c>
      <c r="K42" t="n">
        <v>0.7609561752988048</v>
      </c>
      <c r="L42" s="9">
        <f>(Z42+AC42)/C42</f>
        <v/>
      </c>
      <c r="M42" t="n">
        <v>0.203187250996016</v>
      </c>
      <c r="N42" t="n">
        <v>0.01593625498007968</v>
      </c>
      <c r="O42" s="14">
        <f>AC42/C42</f>
        <v/>
      </c>
      <c r="P42" t="n">
        <v>128.2270916334661</v>
      </c>
      <c r="Q42" t="inlineStr">
        <is>
          <t>86/251</t>
        </is>
      </c>
      <c r="R42" t="n">
        <v>34.26294820717131</v>
      </c>
      <c r="S42" t="inlineStr">
        <is>
          <t>143/251</t>
        </is>
      </c>
      <c r="T42" t="n">
        <v>56.97211155378486</v>
      </c>
      <c r="U42" t="n">
        <v>32355</v>
      </c>
      <c r="V42" t="n">
        <v>2949</v>
      </c>
      <c r="W42" t="n">
        <v>35304</v>
      </c>
      <c r="X42" t="n">
        <v>2183</v>
      </c>
      <c r="Y42" t="n">
        <v>191</v>
      </c>
      <c r="Z42" s="7" t="n">
        <v>2594</v>
      </c>
      <c r="AA42" t="n">
        <v>51</v>
      </c>
      <c r="AB42" t="n">
        <v>4</v>
      </c>
      <c r="AC42" s="26" t="n">
        <v>55</v>
      </c>
      <c r="AD42" s="28" t="inlineStr">
        <is>
          <t>131421090000</t>
        </is>
      </c>
      <c r="AE42" s="28" t="inlineStr">
        <is>
          <t>184060175480.0</t>
        </is>
      </c>
      <c r="AF42" s="28">
        <f>(AE42-AD42)</f>
        <v/>
      </c>
    </row>
    <row r="43">
      <c r="A43" t="n">
        <v>50</v>
      </c>
      <c r="B43" t="inlineStr">
        <is>
          <t>100-350</t>
        </is>
      </c>
      <c r="C43" t="inlineStr">
        <is>
          <t>251</t>
        </is>
      </c>
      <c r="D43" s="19">
        <f>(AE43/AD43)*100</f>
        <v/>
      </c>
      <c r="E43" t="n">
        <v>37953</v>
      </c>
      <c r="F43">
        <f>(V43+Y43+AB43)</f>
        <v/>
      </c>
      <c r="G43" t="n">
        <v>128.800796812749</v>
      </c>
      <c r="H43" t="n">
        <v>11.85258964143426</v>
      </c>
      <c r="I43">
        <f>(Z43+AC43)/C43</f>
        <v/>
      </c>
      <c r="J43" t="n">
        <v>10.33466135458167</v>
      </c>
      <c r="K43" t="n">
        <v>0.7768924302788844</v>
      </c>
      <c r="L43" s="9">
        <f>(Z43+AC43)/C43</f>
        <v/>
      </c>
      <c r="M43" t="n">
        <v>0.199203187250996</v>
      </c>
      <c r="N43" t="n">
        <v>0.0199203187250996</v>
      </c>
      <c r="O43" s="14">
        <f>AC43/C43</f>
        <v/>
      </c>
      <c r="P43" t="n">
        <v>128.1035856573705</v>
      </c>
      <c r="Q43" t="inlineStr">
        <is>
          <t>77/251</t>
        </is>
      </c>
      <c r="R43" t="n">
        <v>30.67729083665339</v>
      </c>
      <c r="S43" t="inlineStr">
        <is>
          <t>148/251</t>
        </is>
      </c>
      <c r="T43" t="n">
        <v>58.96414342629483</v>
      </c>
      <c r="U43" t="n">
        <v>32329</v>
      </c>
      <c r="V43" t="n">
        <v>2975</v>
      </c>
      <c r="W43" t="n">
        <v>35304</v>
      </c>
      <c r="X43" t="n">
        <v>2179</v>
      </c>
      <c r="Y43" t="n">
        <v>195</v>
      </c>
      <c r="Z43" s="7" t="n">
        <v>2594</v>
      </c>
      <c r="AA43" t="n">
        <v>50</v>
      </c>
      <c r="AB43" t="n">
        <v>5</v>
      </c>
      <c r="AC43" s="26" t="n">
        <v>55</v>
      </c>
      <c r="AD43" s="28" t="inlineStr">
        <is>
          <t>131421090000</t>
        </is>
      </c>
      <c r="AE43" s="28" t="inlineStr">
        <is>
          <t>186319074960.0</t>
        </is>
      </c>
      <c r="AF43" s="28">
        <f>(AE43-AD43)</f>
        <v/>
      </c>
    </row>
    <row r="44">
      <c r="A44" t="n">
        <v>51</v>
      </c>
      <c r="B44" t="inlineStr">
        <is>
          <t>100-350</t>
        </is>
      </c>
      <c r="C44" t="inlineStr">
        <is>
          <t>251</t>
        </is>
      </c>
      <c r="D44" t="n">
        <v>120.1421007845849</v>
      </c>
      <c r="E44" t="n">
        <v>37835</v>
      </c>
      <c r="F44" t="n">
        <v>3151</v>
      </c>
      <c r="G44" t="n">
        <v>128.398406374502</v>
      </c>
      <c r="H44" t="n">
        <v>11.85258964143426</v>
      </c>
      <c r="I44" t="n">
        <v>11.85258964143426</v>
      </c>
      <c r="J44" t="n">
        <v>10.32669322709163</v>
      </c>
      <c r="K44" t="n">
        <v>0.701195219123506</v>
      </c>
      <c r="L44" t="n">
        <v>0.701195219123506</v>
      </c>
      <c r="M44" t="n">
        <v>0.1593625498007968</v>
      </c>
      <c r="N44" t="n">
        <v>0</v>
      </c>
      <c r="O44" t="n">
        <v>0</v>
      </c>
      <c r="P44" t="n">
        <v>128.195219123506</v>
      </c>
      <c r="Q44" t="inlineStr">
        <is>
          <t>90/251</t>
        </is>
      </c>
      <c r="R44" t="n">
        <v>35.85657370517929</v>
      </c>
      <c r="S44" t="inlineStr">
        <is>
          <t>131/251</t>
        </is>
      </c>
      <c r="T44" t="n">
        <v>52.19123505976096</v>
      </c>
      <c r="U44" t="n">
        <v>32228</v>
      </c>
      <c r="V44" t="n">
        <v>2975</v>
      </c>
      <c r="W44" t="n">
        <v>35203</v>
      </c>
      <c r="X44" t="n">
        <v>2256</v>
      </c>
      <c r="Y44" t="n">
        <v>176</v>
      </c>
      <c r="Z44" t="n">
        <v>2592</v>
      </c>
      <c r="AA44" t="n">
        <v>40</v>
      </c>
      <c r="AB44" t="n">
        <v>0</v>
      </c>
      <c r="AC44" t="n">
        <v>40</v>
      </c>
      <c r="AD44" t="inlineStr">
        <is>
          <t>131421090000</t>
        </is>
      </c>
      <c r="AE44" t="inlineStr">
        <is>
          <t>157892058400.0</t>
        </is>
      </c>
      <c r="AF44" t="inlineStr">
        <is>
          <t>26470968400.0</t>
        </is>
      </c>
    </row>
    <row r="45">
      <c r="A45" t="n">
        <v>52</v>
      </c>
      <c r="B45" t="inlineStr">
        <is>
          <t>100-350</t>
        </is>
      </c>
      <c r="C45" t="inlineStr">
        <is>
          <t>251</t>
        </is>
      </c>
      <c r="D45" t="n">
        <v>120.9126624653623</v>
      </c>
      <c r="E45" t="n">
        <v>37835</v>
      </c>
      <c r="F45" t="n">
        <v>3091</v>
      </c>
      <c r="G45" t="n">
        <v>128.597609561753</v>
      </c>
      <c r="H45" t="n">
        <v>11.65338645418327</v>
      </c>
      <c r="I45" t="n">
        <v>11.65338645418327</v>
      </c>
      <c r="J45" t="n">
        <v>10.32669322709163</v>
      </c>
      <c r="K45" t="n">
        <v>0.6533864541832669</v>
      </c>
      <c r="L45" t="n">
        <v>0.6533864541832669</v>
      </c>
      <c r="M45" t="n">
        <v>0.151394422310757</v>
      </c>
      <c r="N45" t="n">
        <v>0.00796812749003984</v>
      </c>
      <c r="O45" t="n">
        <v>0.00796812749003984</v>
      </c>
      <c r="P45" t="n">
        <v>128.4262948207171</v>
      </c>
      <c r="Q45" t="inlineStr">
        <is>
          <t>105/251</t>
        </is>
      </c>
      <c r="R45" t="n">
        <v>41.83266932270917</v>
      </c>
      <c r="S45" t="inlineStr">
        <is>
          <t>122/251</t>
        </is>
      </c>
      <c r="T45" t="n">
        <v>48.60557768924303</v>
      </c>
      <c r="U45" t="n">
        <v>32278</v>
      </c>
      <c r="V45" t="n">
        <v>2925</v>
      </c>
      <c r="W45" t="n">
        <v>35203</v>
      </c>
      <c r="X45" t="n">
        <v>2268</v>
      </c>
      <c r="Y45" t="n">
        <v>164</v>
      </c>
      <c r="Z45" t="n">
        <v>2592</v>
      </c>
      <c r="AA45" t="n">
        <v>38</v>
      </c>
      <c r="AB45" t="n">
        <v>2</v>
      </c>
      <c r="AC45" t="n">
        <v>40</v>
      </c>
      <c r="AD45" t="inlineStr">
        <is>
          <t>131421090000</t>
        </is>
      </c>
      <c r="AE45" t="inlineStr">
        <is>
          <t>158904738960.0</t>
        </is>
      </c>
      <c r="AF45" t="inlineStr">
        <is>
          <t>27483648960.0</t>
        </is>
      </c>
    </row>
    <row r="46">
      <c r="A46" t="n">
        <v>53</v>
      </c>
    </row>
    <row r="47">
      <c r="A47" t="n">
        <v>54</v>
      </c>
    </row>
    <row r="48">
      <c r="A48" t="n">
        <v>55</v>
      </c>
    </row>
    <row r="49">
      <c r="A49" t="n">
        <v>56</v>
      </c>
    </row>
    <row r="50">
      <c r="A50" t="n">
        <v>57</v>
      </c>
    </row>
    <row r="51">
      <c r="A51" t="n">
        <v>58</v>
      </c>
    </row>
    <row r="52">
      <c r="A52" t="n">
        <v>59</v>
      </c>
    </row>
    <row r="53">
      <c r="A53" t="n">
        <v>60</v>
      </c>
    </row>
  </sheetData>
  <autoFilter ref="A2:AI2">
    <sortState ref="A3:AI53">
      <sortCondition ref="A2"/>
    </sortState>
  </autoFilter>
  <mergeCells count="4">
    <mergeCell ref="U1:W1"/>
    <mergeCell ref="AA1:AC1"/>
    <mergeCell ref="X1:Z1"/>
    <mergeCell ref="G1:P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2025-12-29T10:01:56Z</dcterms:modified>
  <cp:lastModifiedBy>Admin</cp:lastModifiedBy>
</cp:coreProperties>
</file>