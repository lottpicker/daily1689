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30" yWindow="3820" windowWidth="32470" windowHeight="14220" tabRatio="386" firstSheet="0" activeTab="0" autoFilterDateGrouping="1"/>
  </bookViews>
  <sheets>
    <sheet name="Sheet1" sheetId="1" state="visible" r:id="rId1"/>
  </sheets>
  <definedNames>
    <definedName name="_xlnm._FilterDatabase" localSheetId="0" hidden="1">'Sheet1'!$A$2:$BD$2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FF00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2" fillId="0" borderId="0"/>
    <xf numFmtId="43" fontId="2" fillId="0" borderId="0"/>
    <xf numFmtId="0" fontId="4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1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2" fontId="1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164" fontId="1" fillId="7" borderId="0" applyAlignment="1" pivotButton="0" quotePrefix="0" xfId="1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4" fillId="0" borderId="0" pivotButton="0" quotePrefix="0" xfId="2"/>
    <xf numFmtId="0" fontId="1" fillId="6" borderId="0" applyAlignment="1" pivotButton="0" quotePrefix="0" xfId="0">
      <alignment horizontal="center" vertical="center" wrapText="1"/>
    </xf>
    <xf numFmtId="164" fontId="1" fillId="12" borderId="0" applyAlignment="1" pivotButton="0" quotePrefix="0" xfId="1">
      <alignment horizontal="center" vertical="center"/>
    </xf>
    <xf numFmtId="164" fontId="1" fillId="14" borderId="0" applyAlignment="1" pivotButton="0" quotePrefix="0" xfId="1">
      <alignment horizontal="center" vertical="center"/>
    </xf>
    <xf numFmtId="0" fontId="3" fillId="15" borderId="0" applyAlignment="1" pivotButton="0" quotePrefix="0" xfId="0">
      <alignment horizontal="center" vertical="center" wrapText="1"/>
    </xf>
    <xf numFmtId="0" fontId="0" fillId="0" borderId="0" pivotButton="0" quotePrefix="0" xfId="0"/>
    <xf numFmtId="2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  <xf numFmtId="0" fontId="1" fillId="3" borderId="0" applyAlignment="1" pivotButton="0" quotePrefix="0" xfId="0">
      <alignment horizontal="center"/>
    </xf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2" fontId="0" fillId="0" borderId="0" pivotButton="0" quotePrefix="0" xfId="0"/>
    <xf numFmtId="164" fontId="5" fillId="7" borderId="0" applyAlignment="1" pivotButton="0" quotePrefix="0" xfId="1">
      <alignment horizontal="center" vertical="center"/>
    </xf>
    <xf numFmtId="164" fontId="2" fillId="0" borderId="0" pivotButton="0" quotePrefix="0" xfId="1"/>
    <xf numFmtId="0" fontId="1" fillId="2" borderId="0" applyAlignment="1" pivotButton="0" quotePrefix="0" xfId="0">
      <alignment horizontal="center"/>
    </xf>
    <xf numFmtId="0" fontId="0" fillId="5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165" fontId="2" fillId="0" borderId="0" pivotButton="0" quotePrefix="0" xfId="1"/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8"/>
  <sheetViews>
    <sheetView tabSelected="1" workbookViewId="0">
      <pane xSplit="5" ySplit="2" topLeftCell="AD140" activePane="bottomRight" state="frozen"/>
      <selection pane="topRight" activeCell="F1" sqref="F1"/>
      <selection pane="bottomLeft" activeCell="A3" sqref="A3"/>
      <selection pane="bottomRight" activeCell="D154" sqref="D154"/>
    </sheetView>
  </sheetViews>
  <sheetFormatPr baseColWidth="8" defaultRowHeight="14.5"/>
  <cols>
    <col width="9" customWidth="1" style="27" min="2" max="2"/>
    <col width="8.453125" customWidth="1" style="27" min="3" max="3"/>
    <col width="16.453125" customWidth="1" style="27" min="4" max="4"/>
    <col width="18.7265625" customWidth="1" style="31" min="5" max="5"/>
    <col width="11.54296875" customWidth="1" style="27" min="6" max="6"/>
    <col width="14.1796875" customWidth="1" style="27" min="7" max="7"/>
    <col width="9" customWidth="1" style="27" min="8" max="8"/>
    <col width="9.1796875" customWidth="1" style="27" min="9" max="11"/>
    <col width="16.81640625" customWidth="1" style="27" min="12" max="19"/>
    <col width="17.81640625" customWidth="1" style="27" min="20" max="20"/>
    <col width="16.81640625" customWidth="1" style="27" min="21" max="23"/>
    <col width="9.26953125" customWidth="1" style="27" min="24" max="28"/>
    <col width="9.26953125" customWidth="1" style="29" min="29" max="29"/>
    <col width="9.26953125" customWidth="1" style="27" min="30" max="32"/>
    <col width="8.453125" customWidth="1" style="27" min="33" max="33"/>
    <col width="6.453125" customWidth="1" style="27" min="34" max="41"/>
    <col width="8" customWidth="1" style="27" min="42" max="42"/>
    <col width="25.7265625" customWidth="1" style="31" min="43" max="43"/>
    <col width="18.7265625" customWidth="1" style="31" min="44" max="44"/>
    <col width="13" customWidth="1" style="31" min="45" max="45"/>
    <col width="9.26953125" customWidth="1" style="31" min="46" max="46"/>
    <col width="11.453125" customWidth="1" style="31" min="47" max="47"/>
    <col width="12.08984375" customWidth="1" style="31" min="48" max="48"/>
    <col width="18.7265625" customWidth="1" style="31" min="49" max="52"/>
    <col width="17.54296875" customWidth="1" style="27" min="53" max="53"/>
    <col width="6.54296875" customWidth="1" style="27" min="54" max="56"/>
  </cols>
  <sheetData>
    <row r="1" ht="23.5" customHeight="1" s="27">
      <c r="T1" s="34" t="inlineStr">
        <is>
          <t>CHU KỲ 10 KỲ</t>
        </is>
      </c>
      <c r="X1" s="32" t="inlineStr">
        <is>
          <t>Trúng 3</t>
        </is>
      </c>
      <c r="AA1" s="28" t="inlineStr">
        <is>
          <t>Trúng 4</t>
        </is>
      </c>
      <c r="AD1" s="26" t="inlineStr">
        <is>
          <t>Trúng 5</t>
        </is>
      </c>
      <c r="AG1" s="33" t="inlineStr">
        <is>
          <t>Trung bình/Kỳ</t>
        </is>
      </c>
      <c r="AS1" s="30" t="inlineStr">
        <is>
          <t>KỲ CHIA</t>
        </is>
      </c>
    </row>
    <row r="2" ht="65.5" customFormat="1" customHeight="1" s="2">
      <c r="A2" s="5" t="inlineStr">
        <is>
          <t>Kịch bản
#</t>
        </is>
      </c>
      <c r="B2" s="1" t="inlineStr">
        <is>
          <t>Từ-Đến</t>
        </is>
      </c>
      <c r="C2" s="1" t="inlineStr">
        <is>
          <t>Số kỳ</t>
        </is>
      </c>
      <c r="D2" s="10" t="inlineStr">
        <is>
          <t>% thu hồi</t>
        </is>
      </c>
      <c r="E2" s="12" t="inlineStr">
        <is>
          <t>Lãi/Lỗ</t>
        </is>
      </c>
      <c r="F2" s="1" t="inlineStr">
        <is>
          <t>Tất cả vé&gt;=3</t>
        </is>
      </c>
      <c r="G2" s="1" t="inlineStr">
        <is>
          <t>Tất cả  +1</t>
        </is>
      </c>
      <c r="H2" s="4" t="inlineStr">
        <is>
          <t>Thu 
&lt;80%</t>
        </is>
      </c>
      <c r="I2" s="4" t="inlineStr">
        <is>
          <t>Tỉ lệ
&lt;80%</t>
        </is>
      </c>
      <c r="J2" s="15" t="inlineStr">
        <is>
          <t>Thu 
&gt;90%</t>
        </is>
      </c>
      <c r="K2" s="15" t="inlineStr">
        <is>
          <t>Tỉ lệ
&gt;90%</t>
        </is>
      </c>
      <c r="L2" s="13" t="inlineStr">
        <is>
          <t>Số kỳ thu hồi
 &gt;=120%</t>
        </is>
      </c>
      <c r="M2" s="13" t="inlineStr">
        <is>
          <t>Tỉ lệ  kỳ  
thu  
 &gt;=120%</t>
        </is>
      </c>
      <c r="N2" s="18" t="inlineStr">
        <is>
          <t>Số kỳ thu hồi
 &gt;=140%</t>
        </is>
      </c>
      <c r="O2" s="18" t="inlineStr">
        <is>
          <t>Tỉ lệ  kỳ  thu  
 &gt;=140%</t>
        </is>
      </c>
      <c r="P2" s="14" t="inlineStr">
        <is>
          <t>Số kỳ thu hồi
 &gt;=160%</t>
        </is>
      </c>
      <c r="Q2" s="14" t="inlineStr">
        <is>
          <t>Tỉ lệ  kỳ  thu  
 &gt;=160%</t>
        </is>
      </c>
      <c r="R2" s="7" t="inlineStr">
        <is>
          <t>Số kỳ thu hồi
 &gt;=200%</t>
        </is>
      </c>
      <c r="S2" s="7" t="inlineStr">
        <is>
          <t>Tỉ lệ  kỳ  thu  
 &gt;=200%</t>
        </is>
      </c>
      <c r="T2" s="11" t="inlineStr">
        <is>
          <t>Số chu kỳ 10 kỳ thu hồi
 &gt;=90%</t>
        </is>
      </c>
      <c r="U2" s="11" t="inlineStr">
        <is>
          <t>Tỉ lệ chu kỳ 10 kỳ 
thu hồi 
10 &gt;=90%</t>
        </is>
      </c>
      <c r="V2" s="7" t="inlineStr">
        <is>
          <t>Số chu kỳ 10 kỳ thu hồi
 &gt;=100%</t>
        </is>
      </c>
      <c r="W2" s="7" t="inlineStr">
        <is>
          <t>Tỉ lệ chu kỳ 10 kỳ 
thu hồi 
10 &gt;=100%</t>
        </is>
      </c>
      <c r="X2" s="8" t="n">
        <v>3</v>
      </c>
      <c r="Y2" s="8" t="inlineStr">
        <is>
          <t>3+</t>
        </is>
      </c>
      <c r="Z2" s="8" t="inlineStr">
        <is>
          <t>Tổng  3</t>
        </is>
      </c>
      <c r="AA2" s="8" t="n">
        <v>4</v>
      </c>
      <c r="AB2" s="8" t="inlineStr">
        <is>
          <t>4+</t>
        </is>
      </c>
      <c r="AC2" s="9" t="inlineStr">
        <is>
          <t>Tổng 4</t>
        </is>
      </c>
      <c r="AD2" s="8" t="n">
        <v>5</v>
      </c>
      <c r="AE2" s="8" t="inlineStr">
        <is>
          <t>5+</t>
        </is>
      </c>
      <c r="AF2" s="8" t="inlineStr">
        <is>
          <t>Tổng 5</t>
        </is>
      </c>
      <c r="AG2" s="3" t="n">
        <v>3</v>
      </c>
      <c r="AH2" s="3" t="inlineStr">
        <is>
          <t>3+</t>
        </is>
      </c>
      <c r="AI2" s="3" t="inlineStr">
        <is>
          <t>#3</t>
        </is>
      </c>
      <c r="AJ2" s="3" t="n">
        <v>4</v>
      </c>
      <c r="AK2" s="3" t="inlineStr">
        <is>
          <t>4+</t>
        </is>
      </c>
      <c r="AL2" s="3" t="inlineStr">
        <is>
          <t>#4</t>
        </is>
      </c>
      <c r="AM2" s="3" t="n">
        <v>5</v>
      </c>
      <c r="AN2" s="3" t="inlineStr">
        <is>
          <t>5+</t>
        </is>
      </c>
      <c r="AO2" s="3" t="inlineStr">
        <is>
          <t>#5</t>
        </is>
      </c>
      <c r="AP2" s="3" t="inlineStr">
        <is>
          <t>+</t>
        </is>
      </c>
      <c r="AQ2" s="6" t="inlineStr">
        <is>
          <t>Chi</t>
        </is>
      </c>
      <c r="AR2" s="6" t="inlineStr">
        <is>
          <t>Thu</t>
        </is>
      </c>
      <c r="AS2" s="15" t="inlineStr">
        <is>
          <t>Thu 
&gt;90%</t>
        </is>
      </c>
      <c r="AT2" s="15" t="inlineStr">
        <is>
          <t>Tỉ lệ
&gt;90%</t>
        </is>
      </c>
      <c r="AU2" s="21" t="inlineStr">
        <is>
          <t>Thu 
&gt;100%</t>
        </is>
      </c>
      <c r="AV2" s="21" t="inlineStr">
        <is>
          <t>Tỉ lệ
&gt;100%</t>
        </is>
      </c>
      <c r="AW2" s="20" t="inlineStr">
        <is>
          <t>Chi</t>
        </is>
      </c>
      <c r="AX2" s="20" t="inlineStr">
        <is>
          <t>Thu</t>
        </is>
      </c>
      <c r="AY2" s="19" t="inlineStr">
        <is>
          <t>Lãi/Lỗ</t>
        </is>
      </c>
      <c r="AZ2" s="19" t="inlineStr">
        <is>
          <t>% thu hồi</t>
        </is>
      </c>
      <c r="BA2" s="16" t="inlineStr">
        <is>
          <t>Link chi tiết</t>
        </is>
      </c>
    </row>
    <row r="3">
      <c r="A3" s="31" t="n">
        <v>25</v>
      </c>
      <c r="B3" s="31" t="inlineStr">
        <is>
          <t>100-369</t>
        </is>
      </c>
      <c r="C3" s="31" t="inlineStr">
        <is>
          <t>270</t>
        </is>
      </c>
      <c r="D3" s="35" t="n">
        <v>130.8</v>
      </c>
      <c r="E3" s="35" t="n">
        <v>43544659200</v>
      </c>
      <c r="F3" s="35" t="n">
        <v>40732</v>
      </c>
      <c r="G3" s="35" t="n">
        <v>3363</v>
      </c>
      <c r="H3" s="35" t="inlineStr">
        <is>
          <t>86/270</t>
        </is>
      </c>
      <c r="I3" s="35" t="n">
        <v>31.85</v>
      </c>
      <c r="J3" s="35" t="inlineStr">
        <is>
          <t>177/270</t>
        </is>
      </c>
      <c r="K3" s="35" t="n">
        <v>65.56</v>
      </c>
      <c r="L3" s="35" t="inlineStr">
        <is>
          <t>95/270</t>
        </is>
      </c>
      <c r="M3" s="35" t="n">
        <v>35.19</v>
      </c>
      <c r="N3" s="35" t="inlineStr">
        <is>
          <t>56/270</t>
        </is>
      </c>
      <c r="O3" s="35" t="n">
        <v>20.74</v>
      </c>
      <c r="P3" s="35" t="inlineStr">
        <is>
          <t>49/270</t>
        </is>
      </c>
      <c r="Q3" s="35" t="n">
        <v>18.15</v>
      </c>
      <c r="R3" s="35" t="inlineStr">
        <is>
          <t>45/270</t>
        </is>
      </c>
      <c r="S3" s="35" t="n">
        <v>16.67</v>
      </c>
      <c r="T3" s="35" t="inlineStr">
        <is>
          <t>25/27</t>
        </is>
      </c>
      <c r="U3" s="35" t="n">
        <v>92.59</v>
      </c>
      <c r="V3" s="35" t="inlineStr">
        <is>
          <t>22/27</t>
        </is>
      </c>
      <c r="W3" s="35" t="n">
        <v>81.48</v>
      </c>
      <c r="X3" s="35" t="n">
        <v>34767</v>
      </c>
      <c r="Y3" s="35" t="n">
        <v>3134</v>
      </c>
      <c r="Z3" s="35" t="n">
        <v>37901</v>
      </c>
      <c r="AA3" s="35" t="n">
        <v>2378</v>
      </c>
      <c r="AB3" s="35" t="n">
        <v>228</v>
      </c>
      <c r="AC3" s="35" t="n">
        <v>2786</v>
      </c>
      <c r="AD3" s="35" t="n">
        <v>44</v>
      </c>
      <c r="AE3" s="35" t="n">
        <v>1</v>
      </c>
      <c r="AF3" s="35" t="n">
        <v>45</v>
      </c>
      <c r="AG3" s="35" t="n">
        <v>128.77</v>
      </c>
      <c r="AH3" s="35" t="n">
        <v>11.61</v>
      </c>
      <c r="AI3" s="35" t="n">
        <v>11.61</v>
      </c>
      <c r="AJ3" s="35" t="n">
        <v>10.32</v>
      </c>
      <c r="AK3" s="35" t="n">
        <v>0.84</v>
      </c>
      <c r="AL3" s="35" t="n">
        <v>0.84</v>
      </c>
      <c r="AM3" s="35" t="n">
        <v>0.16</v>
      </c>
      <c r="AN3" s="35" t="n">
        <v>0</v>
      </c>
      <c r="AO3" s="35" t="n">
        <v>0.17</v>
      </c>
      <c r="AP3" s="35" t="n">
        <v>128.29</v>
      </c>
      <c r="AQ3" s="31" t="n">
        <v>141369300000</v>
      </c>
      <c r="AR3" s="31" t="n">
        <v>184913959200</v>
      </c>
      <c r="AS3" t="inlineStr">
        <is>
          <t>6/6</t>
        </is>
      </c>
      <c r="AT3" t="n">
        <v>100</v>
      </c>
      <c r="AU3" t="inlineStr">
        <is>
          <t>4/6</t>
        </is>
      </c>
      <c r="AV3" t="n">
        <v>66.67</v>
      </c>
      <c r="AW3" s="31" t="n">
        <v>3141540000</v>
      </c>
      <c r="AX3" s="31" t="n">
        <v>6788521200</v>
      </c>
      <c r="AY3" s="31" t="n">
        <v>3646981200</v>
      </c>
      <c r="AZ3" s="35" t="n">
        <v>216.09</v>
      </c>
      <c r="BA3" s="17">
        <f>HYPERLINK("https://github.com/lottpicker/daily1689/blob/main/summary-v25.txt", "Click view")</f>
        <v/>
      </c>
    </row>
    <row r="4">
      <c r="A4" s="31" t="n">
        <v>64</v>
      </c>
      <c r="B4" s="31" t="inlineStr">
        <is>
          <t>100-369</t>
        </is>
      </c>
      <c r="C4" s="31" t="inlineStr">
        <is>
          <t>270</t>
        </is>
      </c>
      <c r="D4" s="35" t="n">
        <v>137.56</v>
      </c>
      <c r="E4" s="35" t="n">
        <v>53092365700</v>
      </c>
      <c r="F4" s="35" t="n">
        <v>40738</v>
      </c>
      <c r="G4" s="35" t="n">
        <v>3373</v>
      </c>
      <c r="H4" s="35" t="inlineStr">
        <is>
          <t>90/270</t>
        </is>
      </c>
      <c r="I4" s="35" t="n">
        <v>33.33</v>
      </c>
      <c r="J4" s="35" t="inlineStr">
        <is>
          <t>175/270</t>
        </is>
      </c>
      <c r="K4" s="35" t="n">
        <v>64.81</v>
      </c>
      <c r="L4" s="35" t="inlineStr">
        <is>
          <t>104/270</t>
        </is>
      </c>
      <c r="M4" s="35" t="n">
        <v>38.52</v>
      </c>
      <c r="N4" s="35" t="inlineStr">
        <is>
          <t>67/270</t>
        </is>
      </c>
      <c r="O4" s="35" t="n">
        <v>24.81</v>
      </c>
      <c r="P4" s="35" t="inlineStr">
        <is>
          <t>58/270</t>
        </is>
      </c>
      <c r="Q4" s="35" t="n">
        <v>21.48</v>
      </c>
      <c r="R4" s="35" t="inlineStr">
        <is>
          <t>52/270</t>
        </is>
      </c>
      <c r="S4" s="35" t="n">
        <v>19.26</v>
      </c>
      <c r="T4" s="35" t="inlineStr">
        <is>
          <t>26/27</t>
        </is>
      </c>
      <c r="U4" s="35" t="n">
        <v>96.3</v>
      </c>
      <c r="V4" s="35" t="inlineStr">
        <is>
          <t>25/27</t>
        </is>
      </c>
      <c r="W4" s="35" t="n">
        <v>92.59</v>
      </c>
      <c r="X4" s="35" t="n">
        <v>34751</v>
      </c>
      <c r="Y4" s="35" t="n">
        <v>3133</v>
      </c>
      <c r="Z4" s="35" t="n">
        <v>37884</v>
      </c>
      <c r="AA4" s="35" t="n">
        <v>2363</v>
      </c>
      <c r="AB4" s="35" t="n">
        <v>231</v>
      </c>
      <c r="AC4" s="35" t="n">
        <v>2802</v>
      </c>
      <c r="AD4" s="35" t="n">
        <v>43</v>
      </c>
      <c r="AE4" s="35" t="n">
        <v>9</v>
      </c>
      <c r="AF4" s="35" t="n">
        <v>52</v>
      </c>
      <c r="AG4" s="35" t="n">
        <v>128.71</v>
      </c>
      <c r="AH4" s="35" t="n">
        <v>11.6</v>
      </c>
      <c r="AI4" s="35" t="n">
        <v>11.6</v>
      </c>
      <c r="AJ4" s="35" t="n">
        <v>10.38</v>
      </c>
      <c r="AK4" s="35" t="n">
        <v>0.86</v>
      </c>
      <c r="AL4" s="35" t="n">
        <v>0.86</v>
      </c>
      <c r="AM4" s="35" t="n">
        <v>0.16</v>
      </c>
      <c r="AN4" s="35" t="n">
        <v>0.03</v>
      </c>
      <c r="AO4" s="35" t="n">
        <v>0.19</v>
      </c>
      <c r="AP4" s="35" t="n">
        <v>128.26</v>
      </c>
      <c r="AQ4" s="31" t="n">
        <v>141369300000</v>
      </c>
      <c r="AR4" s="31" t="n">
        <v>194461665700</v>
      </c>
      <c r="AS4" t="inlineStr">
        <is>
          <t>6/6</t>
        </is>
      </c>
      <c r="AT4" t="n">
        <v>100</v>
      </c>
      <c r="AU4" t="inlineStr">
        <is>
          <t>4/6</t>
        </is>
      </c>
      <c r="AV4" t="n">
        <v>66.67</v>
      </c>
      <c r="AW4" s="31" t="n">
        <v>3141540000</v>
      </c>
      <c r="AX4" s="31" t="n">
        <v>5553246000</v>
      </c>
      <c r="AY4" s="31" t="n">
        <v>2411706000</v>
      </c>
      <c r="AZ4" s="35" t="n">
        <v>176.77</v>
      </c>
      <c r="BA4">
        <f>HYPERLINK("https://github.com/lottpicker/daily1689/blob/main/summary-v64.txt", "Click view")</f>
        <v/>
      </c>
    </row>
    <row r="5">
      <c r="A5" s="31" t="n">
        <v>52</v>
      </c>
      <c r="B5" s="31" t="inlineStr">
        <is>
          <t>100-369</t>
        </is>
      </c>
      <c r="C5" s="31" t="inlineStr">
        <is>
          <t>270</t>
        </is>
      </c>
      <c r="D5" s="35" t="n">
        <v>134.38</v>
      </c>
      <c r="E5" s="35" t="n">
        <v>48607784700</v>
      </c>
      <c r="F5" s="35" t="n">
        <v>40738</v>
      </c>
      <c r="G5" s="35" t="n">
        <v>3393</v>
      </c>
      <c r="H5" s="35" t="inlineStr">
        <is>
          <t>97/270</t>
        </is>
      </c>
      <c r="I5" s="35" t="n">
        <v>35.93</v>
      </c>
      <c r="J5" s="35" t="inlineStr">
        <is>
          <t>165/270</t>
        </is>
      </c>
      <c r="K5" s="35" t="n">
        <v>61.11</v>
      </c>
      <c r="L5" s="35" t="inlineStr">
        <is>
          <t>89/270</t>
        </is>
      </c>
      <c r="M5" s="35" t="n">
        <v>32.96</v>
      </c>
      <c r="N5" s="35" t="inlineStr">
        <is>
          <t>56/270</t>
        </is>
      </c>
      <c r="O5" s="35" t="n">
        <v>20.74</v>
      </c>
      <c r="P5" s="35" t="inlineStr">
        <is>
          <t>52/270</t>
        </is>
      </c>
      <c r="Q5" s="35" t="n">
        <v>19.26</v>
      </c>
      <c r="R5" s="35" t="inlineStr">
        <is>
          <t>52/270</t>
        </is>
      </c>
      <c r="S5" s="35" t="n">
        <v>19.26</v>
      </c>
      <c r="T5" s="35" t="inlineStr">
        <is>
          <t>26/27</t>
        </is>
      </c>
      <c r="U5" s="35" t="n">
        <v>96.3</v>
      </c>
      <c r="V5" s="35" t="inlineStr">
        <is>
          <t>23/27</t>
        </is>
      </c>
      <c r="W5" s="35" t="n">
        <v>85.19</v>
      </c>
      <c r="X5" s="35" t="n">
        <v>34700</v>
      </c>
      <c r="Y5" s="35" t="n">
        <v>3184</v>
      </c>
      <c r="Z5" s="35" t="n">
        <v>37884</v>
      </c>
      <c r="AA5" s="35" t="n">
        <v>2393</v>
      </c>
      <c r="AB5" s="35" t="n">
        <v>201</v>
      </c>
      <c r="AC5" s="35" t="n">
        <v>2802</v>
      </c>
      <c r="AD5" s="35" t="n">
        <v>44</v>
      </c>
      <c r="AE5" s="35" t="n">
        <v>8</v>
      </c>
      <c r="AF5" s="35" t="n">
        <v>52</v>
      </c>
      <c r="AG5" s="35" t="n">
        <v>128.52</v>
      </c>
      <c r="AH5" s="35" t="n">
        <v>11.79</v>
      </c>
      <c r="AI5" s="35" t="n">
        <v>11.79</v>
      </c>
      <c r="AJ5" s="35" t="n">
        <v>10.38</v>
      </c>
      <c r="AK5" s="35" t="n">
        <v>0.74</v>
      </c>
      <c r="AL5" s="35" t="n">
        <v>0.74</v>
      </c>
      <c r="AM5" s="35" t="n">
        <v>0.16</v>
      </c>
      <c r="AN5" s="35" t="n">
        <v>0.03</v>
      </c>
      <c r="AO5" s="35" t="n">
        <v>0.19</v>
      </c>
      <c r="AP5" s="35" t="n">
        <v>128.22</v>
      </c>
      <c r="AQ5" s="31" t="n">
        <v>141369300000</v>
      </c>
      <c r="AR5" s="31" t="n">
        <v>189977084700</v>
      </c>
      <c r="AS5" t="inlineStr">
        <is>
          <t>6/6</t>
        </is>
      </c>
      <c r="AT5" t="n">
        <v>100</v>
      </c>
      <c r="AU5" t="inlineStr">
        <is>
          <t>3/6</t>
        </is>
      </c>
      <c r="AV5" t="n">
        <v>50</v>
      </c>
      <c r="AW5" s="31" t="n">
        <v>3141540000</v>
      </c>
      <c r="AX5" s="31" t="n">
        <v>5701213100</v>
      </c>
      <c r="AY5" s="31" t="n">
        <v>2559673100</v>
      </c>
      <c r="AZ5" s="35" t="n">
        <v>181.48</v>
      </c>
      <c r="BA5" s="17">
        <f>HYPERLINK("https://github.com/lottpicker/daily1689/blob/main/summary-v52.txt", "Click view")</f>
        <v/>
      </c>
    </row>
    <row r="6">
      <c r="A6" s="31" t="n">
        <v>53</v>
      </c>
      <c r="B6" s="31" t="inlineStr">
        <is>
          <t>100-369</t>
        </is>
      </c>
      <c r="C6" s="31" t="inlineStr">
        <is>
          <t>270</t>
        </is>
      </c>
      <c r="D6" s="35" t="n">
        <v>135.4</v>
      </c>
      <c r="E6" s="35" t="n">
        <v>50044682800</v>
      </c>
      <c r="F6" s="35" t="n">
        <v>40738</v>
      </c>
      <c r="G6" s="35" t="n">
        <v>3346</v>
      </c>
      <c r="H6" s="35" t="inlineStr">
        <is>
          <t>90/270</t>
        </is>
      </c>
      <c r="I6" s="35" t="n">
        <v>33.33</v>
      </c>
      <c r="J6" s="35" t="inlineStr">
        <is>
          <t>177/270</t>
        </is>
      </c>
      <c r="K6" s="35" t="n">
        <v>65.56</v>
      </c>
      <c r="L6" s="35" t="inlineStr">
        <is>
          <t>95/270</t>
        </is>
      </c>
      <c r="M6" s="35" t="n">
        <v>35.19</v>
      </c>
      <c r="N6" s="35" t="inlineStr">
        <is>
          <t>60/270</t>
        </is>
      </c>
      <c r="O6" s="35" t="n">
        <v>22.22</v>
      </c>
      <c r="P6" s="35" t="inlineStr">
        <is>
          <t>54/270</t>
        </is>
      </c>
      <c r="Q6" s="35" t="n">
        <v>20</v>
      </c>
      <c r="R6" s="35" t="inlineStr">
        <is>
          <t>52/270</t>
        </is>
      </c>
      <c r="S6" s="35" t="n">
        <v>19.26</v>
      </c>
      <c r="T6" s="35" t="inlineStr">
        <is>
          <t>26/27</t>
        </is>
      </c>
      <c r="U6" s="35" t="n">
        <v>96.3</v>
      </c>
      <c r="V6" s="35" t="inlineStr">
        <is>
          <t>24/27</t>
        </is>
      </c>
      <c r="W6" s="35" t="n">
        <v>88.89</v>
      </c>
      <c r="X6" s="35" t="n">
        <v>34756</v>
      </c>
      <c r="Y6" s="35" t="n">
        <v>3128</v>
      </c>
      <c r="Z6" s="35" t="n">
        <v>37884</v>
      </c>
      <c r="AA6" s="35" t="n">
        <v>2382</v>
      </c>
      <c r="AB6" s="35" t="n">
        <v>212</v>
      </c>
      <c r="AC6" s="35" t="n">
        <v>2802</v>
      </c>
      <c r="AD6" s="35" t="n">
        <v>46</v>
      </c>
      <c r="AE6" s="35" t="n">
        <v>6</v>
      </c>
      <c r="AF6" s="35" t="n">
        <v>52</v>
      </c>
      <c r="AG6" s="35" t="n">
        <v>128.73</v>
      </c>
      <c r="AH6" s="35" t="n">
        <v>11.59</v>
      </c>
      <c r="AI6" s="35" t="n">
        <v>11.59</v>
      </c>
      <c r="AJ6" s="35" t="n">
        <v>10.38</v>
      </c>
      <c r="AK6" s="35" t="n">
        <v>0.79</v>
      </c>
      <c r="AL6" s="35" t="n">
        <v>0.79</v>
      </c>
      <c r="AM6" s="35" t="n">
        <v>0.17</v>
      </c>
      <c r="AN6" s="35" t="n">
        <v>0.02</v>
      </c>
      <c r="AO6" s="35" t="n">
        <v>0.19</v>
      </c>
      <c r="AP6" s="35" t="n">
        <v>128.39</v>
      </c>
      <c r="AQ6" s="31" t="n">
        <v>141369300000</v>
      </c>
      <c r="AR6" s="31" t="n">
        <v>191413982800</v>
      </c>
      <c r="AS6" t="inlineStr">
        <is>
          <t>6/6</t>
        </is>
      </c>
      <c r="AT6" t="n">
        <v>100</v>
      </c>
      <c r="AU6" t="inlineStr">
        <is>
          <t>3/6</t>
        </is>
      </c>
      <c r="AV6" t="n">
        <v>50</v>
      </c>
      <c r="AW6" s="31" t="n">
        <v>3141540000</v>
      </c>
      <c r="AX6" s="31" t="n">
        <v>5372450900</v>
      </c>
      <c r="AY6" s="31" t="n">
        <v>2230910900</v>
      </c>
      <c r="AZ6" s="35" t="n">
        <v>171.01</v>
      </c>
      <c r="BA6" s="17">
        <f>HYPERLINK("https://github.com/lottpicker/daily1689/blob/main/summary-v53.txt", "Click view")</f>
        <v/>
      </c>
    </row>
    <row r="7">
      <c r="A7" s="31" t="n">
        <v>42</v>
      </c>
      <c r="B7" s="31" t="inlineStr">
        <is>
          <t>100-369</t>
        </is>
      </c>
      <c r="C7" s="31" t="inlineStr">
        <is>
          <t>270</t>
        </is>
      </c>
      <c r="D7" s="35" t="n">
        <v>135.02</v>
      </c>
      <c r="E7" s="35" t="n">
        <v>49501097300</v>
      </c>
      <c r="F7" s="35" t="n">
        <v>40738</v>
      </c>
      <c r="G7" s="35" t="n">
        <v>3379</v>
      </c>
      <c r="H7" s="35" t="inlineStr">
        <is>
          <t>84/270</t>
        </is>
      </c>
      <c r="I7" s="35" t="n">
        <v>31.11</v>
      </c>
      <c r="J7" s="35" t="inlineStr">
        <is>
          <t>182/270</t>
        </is>
      </c>
      <c r="K7" s="35" t="n">
        <v>67.41</v>
      </c>
      <c r="L7" s="35" t="inlineStr">
        <is>
          <t>89/270</t>
        </is>
      </c>
      <c r="M7" s="35" t="n">
        <v>32.96</v>
      </c>
      <c r="N7" s="35" t="inlineStr">
        <is>
          <t>57/270</t>
        </is>
      </c>
      <c r="O7" s="35" t="n">
        <v>21.11</v>
      </c>
      <c r="P7" s="35" t="inlineStr">
        <is>
          <t>52/270</t>
        </is>
      </c>
      <c r="Q7" s="35" t="n">
        <v>19.26</v>
      </c>
      <c r="R7" s="35" t="inlineStr">
        <is>
          <t>52/270</t>
        </is>
      </c>
      <c r="S7" s="35" t="n">
        <v>19.26</v>
      </c>
      <c r="T7" s="35" t="inlineStr">
        <is>
          <t>25/27</t>
        </is>
      </c>
      <c r="U7" s="35" t="n">
        <v>92.59</v>
      </c>
      <c r="V7" s="35" t="inlineStr">
        <is>
          <t>23/27</t>
        </is>
      </c>
      <c r="W7" s="35" t="n">
        <v>85.19</v>
      </c>
      <c r="X7" s="35" t="n">
        <v>34714</v>
      </c>
      <c r="Y7" s="35" t="n">
        <v>3170</v>
      </c>
      <c r="Z7" s="35" t="n">
        <v>37884</v>
      </c>
      <c r="AA7" s="35" t="n">
        <v>2387</v>
      </c>
      <c r="AB7" s="35" t="n">
        <v>207</v>
      </c>
      <c r="AC7" s="35" t="n">
        <v>2802</v>
      </c>
      <c r="AD7" s="35" t="n">
        <v>50</v>
      </c>
      <c r="AE7" s="35" t="n">
        <v>2</v>
      </c>
      <c r="AF7" s="35" t="n">
        <v>52</v>
      </c>
      <c r="AG7" s="35" t="n">
        <v>128.57</v>
      </c>
      <c r="AH7" s="35" t="n">
        <v>11.74</v>
      </c>
      <c r="AI7" s="35" t="n">
        <v>11.74</v>
      </c>
      <c r="AJ7" s="35" t="n">
        <v>10.38</v>
      </c>
      <c r="AK7" s="35" t="n">
        <v>0.77</v>
      </c>
      <c r="AL7" s="35" t="n">
        <v>0.77</v>
      </c>
      <c r="AM7" s="35" t="n">
        <v>0.19</v>
      </c>
      <c r="AN7" s="35" t="n">
        <v>0.01</v>
      </c>
      <c r="AO7" s="35" t="n">
        <v>0.19</v>
      </c>
      <c r="AP7" s="35" t="n">
        <v>128.22</v>
      </c>
      <c r="AQ7" s="31" t="n">
        <v>141369300000</v>
      </c>
      <c r="AR7" s="31" t="n">
        <v>190870397300</v>
      </c>
      <c r="AS7" t="inlineStr">
        <is>
          <t>5/6</t>
        </is>
      </c>
      <c r="AT7" t="n">
        <v>83.33</v>
      </c>
      <c r="AU7" t="inlineStr">
        <is>
          <t>4/6</t>
        </is>
      </c>
      <c r="AV7" t="n">
        <v>66.67</v>
      </c>
      <c r="AW7" s="31" t="n">
        <v>3141540000</v>
      </c>
      <c r="AX7" s="31" t="n">
        <v>5393060900</v>
      </c>
      <c r="AY7" s="31" t="n">
        <v>2251520900</v>
      </c>
      <c r="AZ7" s="35" t="n">
        <v>171.67</v>
      </c>
      <c r="BA7" s="17">
        <f>HYPERLINK("https://github.com/lottpicker/daily1689/blob/main/summary-v42.txt", "Click view")</f>
        <v/>
      </c>
    </row>
    <row r="8">
      <c r="A8" s="31" t="n">
        <v>45</v>
      </c>
      <c r="B8" s="31" t="inlineStr">
        <is>
          <t>100-369</t>
        </is>
      </c>
      <c r="C8" s="31" t="inlineStr">
        <is>
          <t>270</t>
        </is>
      </c>
      <c r="D8" s="35" t="n">
        <v>138.2</v>
      </c>
      <c r="E8" s="35" t="n">
        <v>54002546000</v>
      </c>
      <c r="F8" s="35" t="n">
        <v>40771</v>
      </c>
      <c r="G8" s="35" t="n">
        <v>3393</v>
      </c>
      <c r="H8" s="35" t="inlineStr">
        <is>
          <t>84/270</t>
        </is>
      </c>
      <c r="I8" s="35" t="n">
        <v>31.11</v>
      </c>
      <c r="J8" s="35" t="inlineStr">
        <is>
          <t>180/270</t>
        </is>
      </c>
      <c r="K8" s="35" t="n">
        <v>66.67</v>
      </c>
      <c r="L8" s="35" t="inlineStr">
        <is>
          <t>99/270</t>
        </is>
      </c>
      <c r="M8" s="35" t="n">
        <v>36.67</v>
      </c>
      <c r="N8" s="35" t="inlineStr">
        <is>
          <t>64/270</t>
        </is>
      </c>
      <c r="O8" s="35" t="n">
        <v>23.7</v>
      </c>
      <c r="P8" s="35" t="inlineStr">
        <is>
          <t>57/270</t>
        </is>
      </c>
      <c r="Q8" s="35" t="n">
        <v>21.11</v>
      </c>
      <c r="R8" s="35" t="inlineStr">
        <is>
          <t>55/270</t>
        </is>
      </c>
      <c r="S8" s="35" t="n">
        <v>20.37</v>
      </c>
      <c r="T8" s="35" t="inlineStr">
        <is>
          <t>27/27</t>
        </is>
      </c>
      <c r="U8" s="35" t="n">
        <v>100</v>
      </c>
      <c r="V8" s="35" t="inlineStr">
        <is>
          <t>26/27</t>
        </is>
      </c>
      <c r="W8" s="35" t="n">
        <v>96.3</v>
      </c>
      <c r="X8" s="35" t="n">
        <v>34749</v>
      </c>
      <c r="Y8" s="35" t="n">
        <v>3175</v>
      </c>
      <c r="Z8" s="35" t="n">
        <v>37924</v>
      </c>
      <c r="AA8" s="35" t="n">
        <v>2360</v>
      </c>
      <c r="AB8" s="35" t="n">
        <v>212</v>
      </c>
      <c r="AC8" s="35" t="n">
        <v>2792</v>
      </c>
      <c r="AD8" s="35" t="n">
        <v>49</v>
      </c>
      <c r="AE8" s="35" t="n">
        <v>6</v>
      </c>
      <c r="AF8" s="35" t="n">
        <v>55</v>
      </c>
      <c r="AG8" s="35" t="n">
        <v>128.7</v>
      </c>
      <c r="AH8" s="35" t="n">
        <v>11.76</v>
      </c>
      <c r="AI8" s="35" t="n">
        <v>11.76</v>
      </c>
      <c r="AJ8" s="35" t="n">
        <v>10.34</v>
      </c>
      <c r="AK8" s="35" t="n">
        <v>0.79</v>
      </c>
      <c r="AL8" s="35" t="n">
        <v>0.79</v>
      </c>
      <c r="AM8" s="35" t="n">
        <v>0.18</v>
      </c>
      <c r="AN8" s="35" t="n">
        <v>0.02</v>
      </c>
      <c r="AO8" s="35" t="n">
        <v>0.2</v>
      </c>
      <c r="AP8" s="35" t="n">
        <v>128.17</v>
      </c>
      <c r="AQ8" s="31" t="n">
        <v>141369300000</v>
      </c>
      <c r="AR8" s="31" t="n">
        <v>195371846000</v>
      </c>
      <c r="AS8" t="inlineStr">
        <is>
          <t>5/6</t>
        </is>
      </c>
      <c r="AT8" t="n">
        <v>83.33</v>
      </c>
      <c r="AU8" t="inlineStr">
        <is>
          <t>4/6</t>
        </is>
      </c>
      <c r="AV8" t="n">
        <v>66.67</v>
      </c>
      <c r="AW8" s="31" t="n">
        <v>3141540000</v>
      </c>
      <c r="AX8" s="31" t="n">
        <v>5328416500</v>
      </c>
      <c r="AY8" s="31" t="n">
        <v>2186876500</v>
      </c>
      <c r="AZ8" s="35" t="n">
        <v>169.61</v>
      </c>
      <c r="BA8" s="17">
        <f>HYPERLINK("https://github.com/lottpicker/daily1689/blob/main/summary-v45.txt", "Click view")</f>
        <v/>
      </c>
    </row>
    <row r="9">
      <c r="A9" s="31" t="n">
        <v>46</v>
      </c>
      <c r="B9" s="31" t="inlineStr">
        <is>
          <t>100-369</t>
        </is>
      </c>
      <c r="C9" s="31" t="inlineStr">
        <is>
          <t>270</t>
        </is>
      </c>
      <c r="D9" s="35" t="n">
        <v>140.57</v>
      </c>
      <c r="E9" s="35" t="n">
        <v>57348861100</v>
      </c>
      <c r="F9" s="35" t="n">
        <v>40771</v>
      </c>
      <c r="G9" s="35" t="n">
        <v>3410</v>
      </c>
      <c r="H9" s="35" t="inlineStr">
        <is>
          <t>81/270</t>
        </is>
      </c>
      <c r="I9" s="35" t="n">
        <v>30</v>
      </c>
      <c r="J9" s="35" t="inlineStr">
        <is>
          <t>187/270</t>
        </is>
      </c>
      <c r="K9" s="35" t="n">
        <v>69.26000000000001</v>
      </c>
      <c r="L9" s="35" t="inlineStr">
        <is>
          <t>103/270</t>
        </is>
      </c>
      <c r="M9" s="35" t="n">
        <v>38.15</v>
      </c>
      <c r="N9" s="35" t="inlineStr">
        <is>
          <t>70/270</t>
        </is>
      </c>
      <c r="O9" s="35" t="n">
        <v>25.93</v>
      </c>
      <c r="P9" s="35" t="inlineStr">
        <is>
          <t>57/270</t>
        </is>
      </c>
      <c r="Q9" s="35" t="n">
        <v>21.11</v>
      </c>
      <c r="R9" s="35" t="inlineStr">
        <is>
          <t>55/270</t>
        </is>
      </c>
      <c r="S9" s="35" t="n">
        <v>20.37</v>
      </c>
      <c r="T9" s="35" t="inlineStr">
        <is>
          <t>26/27</t>
        </is>
      </c>
      <c r="U9" s="35" t="n">
        <v>96.3</v>
      </c>
      <c r="V9" s="35" t="inlineStr">
        <is>
          <t>26/27</t>
        </is>
      </c>
      <c r="W9" s="35" t="n">
        <v>96.3</v>
      </c>
      <c r="X9" s="35" t="n">
        <v>34751</v>
      </c>
      <c r="Y9" s="35" t="n">
        <v>3173</v>
      </c>
      <c r="Z9" s="35" t="n">
        <v>37924</v>
      </c>
      <c r="AA9" s="35" t="n">
        <v>2339</v>
      </c>
      <c r="AB9" s="35" t="n">
        <v>233</v>
      </c>
      <c r="AC9" s="35" t="n">
        <v>2792</v>
      </c>
      <c r="AD9" s="35" t="n">
        <v>51</v>
      </c>
      <c r="AE9" s="35" t="n">
        <v>4</v>
      </c>
      <c r="AF9" s="35" t="n">
        <v>55</v>
      </c>
      <c r="AG9" s="35" t="n">
        <v>128.71</v>
      </c>
      <c r="AH9" s="35" t="n">
        <v>11.75</v>
      </c>
      <c r="AI9" s="35" t="n">
        <v>11.75</v>
      </c>
      <c r="AJ9" s="35" t="n">
        <v>10.34</v>
      </c>
      <c r="AK9" s="35" t="n">
        <v>0.86</v>
      </c>
      <c r="AL9" s="35" t="n">
        <v>0.86</v>
      </c>
      <c r="AM9" s="35" t="n">
        <v>0.19</v>
      </c>
      <c r="AN9" s="35" t="n">
        <v>0.01</v>
      </c>
      <c r="AO9" s="35" t="n">
        <v>0.2</v>
      </c>
      <c r="AP9" s="35" t="n">
        <v>128.11</v>
      </c>
      <c r="AQ9" s="31" t="n">
        <v>141369300000</v>
      </c>
      <c r="AR9" s="31" t="n">
        <v>198718161100</v>
      </c>
      <c r="AS9" t="inlineStr">
        <is>
          <t>5/6</t>
        </is>
      </c>
      <c r="AT9" t="n">
        <v>83.33</v>
      </c>
      <c r="AU9" t="inlineStr">
        <is>
          <t>4/6</t>
        </is>
      </c>
      <c r="AV9" t="n">
        <v>66.67</v>
      </c>
      <c r="AW9" s="31" t="n">
        <v>3141540000</v>
      </c>
      <c r="AX9" s="31" t="n">
        <v>5540172600</v>
      </c>
      <c r="AY9" s="31" t="n">
        <v>2398632600</v>
      </c>
      <c r="AZ9" s="35" t="n">
        <v>176.35</v>
      </c>
      <c r="BA9" s="17">
        <f>HYPERLINK("https://github.com/lottpicker/daily1689/blob/main/summary-v46.txt", "Click view")</f>
        <v/>
      </c>
    </row>
    <row r="10">
      <c r="A10" s="31" t="n">
        <v>55</v>
      </c>
      <c r="B10" s="31" t="inlineStr">
        <is>
          <t>100-369</t>
        </is>
      </c>
      <c r="C10" s="31" t="inlineStr">
        <is>
          <t>270</t>
        </is>
      </c>
      <c r="D10" s="35" t="n">
        <v>137.6</v>
      </c>
      <c r="E10" s="35" t="n">
        <v>53149326700</v>
      </c>
      <c r="F10" s="35" t="n">
        <v>40738</v>
      </c>
      <c r="G10" s="35" t="n">
        <v>3378</v>
      </c>
      <c r="H10" s="35" t="inlineStr">
        <is>
          <t>82/270</t>
        </is>
      </c>
      <c r="I10" s="35" t="n">
        <v>30.37</v>
      </c>
      <c r="J10" s="35" t="inlineStr">
        <is>
          <t>182/270</t>
        </is>
      </c>
      <c r="K10" s="35" t="n">
        <v>67.41</v>
      </c>
      <c r="L10" s="35" t="inlineStr">
        <is>
          <t>106/270</t>
        </is>
      </c>
      <c r="M10" s="35" t="n">
        <v>39.26</v>
      </c>
      <c r="N10" s="35" t="inlineStr">
        <is>
          <t>66/270</t>
        </is>
      </c>
      <c r="O10" s="35" t="n">
        <v>24.44</v>
      </c>
      <c r="P10" s="35" t="inlineStr">
        <is>
          <t>57/270</t>
        </is>
      </c>
      <c r="Q10" s="35" t="n">
        <v>21.11</v>
      </c>
      <c r="R10" s="35" t="inlineStr">
        <is>
          <t>52/270</t>
        </is>
      </c>
      <c r="S10" s="35" t="n">
        <v>19.26</v>
      </c>
      <c r="T10" s="35" t="inlineStr">
        <is>
          <t>26/27</t>
        </is>
      </c>
      <c r="U10" s="35" t="n">
        <v>96.3</v>
      </c>
      <c r="V10" s="35" t="inlineStr">
        <is>
          <t>25/27</t>
        </is>
      </c>
      <c r="W10" s="35" t="n">
        <v>92.59</v>
      </c>
      <c r="X10" s="35" t="n">
        <v>34743</v>
      </c>
      <c r="Y10" s="35" t="n">
        <v>3141</v>
      </c>
      <c r="Z10" s="35" t="n">
        <v>37884</v>
      </c>
      <c r="AA10" s="35" t="n">
        <v>2363</v>
      </c>
      <c r="AB10" s="35" t="n">
        <v>231</v>
      </c>
      <c r="AC10" s="35" t="n">
        <v>2802</v>
      </c>
      <c r="AD10" s="35" t="n">
        <v>46</v>
      </c>
      <c r="AE10" s="35" t="n">
        <v>6</v>
      </c>
      <c r="AF10" s="35" t="n">
        <v>52</v>
      </c>
      <c r="AG10" s="35" t="n">
        <v>128.68</v>
      </c>
      <c r="AH10" s="35" t="n">
        <v>11.63</v>
      </c>
      <c r="AI10" s="35" t="n">
        <v>11.63</v>
      </c>
      <c r="AJ10" s="35" t="n">
        <v>10.38</v>
      </c>
      <c r="AK10" s="35" t="n">
        <v>0.86</v>
      </c>
      <c r="AL10" s="35" t="n">
        <v>0.86</v>
      </c>
      <c r="AM10" s="35" t="n">
        <v>0.17</v>
      </c>
      <c r="AN10" s="35" t="n">
        <v>0.02</v>
      </c>
      <c r="AO10" s="35" t="n">
        <v>0.19</v>
      </c>
      <c r="AP10" s="35" t="n">
        <v>128.24</v>
      </c>
      <c r="AQ10" s="31" t="n">
        <v>141369300000</v>
      </c>
      <c r="AR10" s="31" t="n">
        <v>194518626700</v>
      </c>
      <c r="AS10" t="inlineStr">
        <is>
          <t>5/6</t>
        </is>
      </c>
      <c r="AT10" t="n">
        <v>83.33</v>
      </c>
      <c r="AU10" t="inlineStr">
        <is>
          <t>4/6</t>
        </is>
      </c>
      <c r="AV10" t="n">
        <v>66.67</v>
      </c>
      <c r="AW10" s="31" t="n">
        <v>3141540000</v>
      </c>
      <c r="AX10" s="31" t="n">
        <v>5736007100</v>
      </c>
      <c r="AY10" s="31" t="n">
        <v>2594467100</v>
      </c>
      <c r="AZ10" s="35" t="n">
        <v>182.59</v>
      </c>
      <c r="BA10" s="17">
        <f>HYPERLINK("https://github.com/lottpicker/daily1689/blob/main/summary-v55.txt", "Click view")</f>
        <v/>
      </c>
    </row>
    <row r="11">
      <c r="A11" s="31" t="n">
        <v>15</v>
      </c>
      <c r="B11" s="31" t="inlineStr">
        <is>
          <t>100-369</t>
        </is>
      </c>
      <c r="C11" s="31" t="inlineStr">
        <is>
          <t>270</t>
        </is>
      </c>
      <c r="D11" s="35" t="n">
        <v>139.97</v>
      </c>
      <c r="E11" s="35" t="n">
        <v>56501222800</v>
      </c>
      <c r="F11" s="35" t="n">
        <v>40738</v>
      </c>
      <c r="G11" s="35" t="n">
        <v>3404</v>
      </c>
      <c r="H11" s="35" t="inlineStr">
        <is>
          <t>66/270</t>
        </is>
      </c>
      <c r="I11" s="35" t="n">
        <v>24.44</v>
      </c>
      <c r="J11" s="35" t="inlineStr">
        <is>
          <t>197/270</t>
        </is>
      </c>
      <c r="K11" s="35" t="n">
        <v>72.95999999999999</v>
      </c>
      <c r="L11" s="35" t="inlineStr">
        <is>
          <t>103/270</t>
        </is>
      </c>
      <c r="M11" s="35" t="n">
        <v>38.15</v>
      </c>
      <c r="N11" s="35" t="inlineStr">
        <is>
          <t>63/270</t>
        </is>
      </c>
      <c r="O11" s="35" t="n">
        <v>23.33</v>
      </c>
      <c r="P11" s="35" t="inlineStr">
        <is>
          <t>55/270</t>
        </is>
      </c>
      <c r="Q11" s="35" t="n">
        <v>20.37</v>
      </c>
      <c r="R11" s="35" t="inlineStr">
        <is>
          <t>53/270</t>
        </is>
      </c>
      <c r="S11" s="35" t="n">
        <v>19.63</v>
      </c>
      <c r="T11" s="35" t="inlineStr">
        <is>
          <t>25/27</t>
        </is>
      </c>
      <c r="U11" s="35" t="n">
        <v>92.59</v>
      </c>
      <c r="V11" s="35" t="inlineStr">
        <is>
          <t>25/27</t>
        </is>
      </c>
      <c r="W11" s="35" t="n">
        <v>92.59</v>
      </c>
      <c r="X11" s="35" t="n">
        <v>34741</v>
      </c>
      <c r="Y11" s="35" t="n">
        <v>3143</v>
      </c>
      <c r="Z11" s="35" t="n">
        <v>37884</v>
      </c>
      <c r="AA11" s="35" t="n">
        <v>2342</v>
      </c>
      <c r="AB11" s="35" t="n">
        <v>252</v>
      </c>
      <c r="AC11" s="35" t="n">
        <v>2802</v>
      </c>
      <c r="AD11" s="35" t="n">
        <v>43</v>
      </c>
      <c r="AE11" s="35" t="n">
        <v>9</v>
      </c>
      <c r="AF11" s="35" t="n">
        <v>52</v>
      </c>
      <c r="AG11" s="35" t="n">
        <v>128.67</v>
      </c>
      <c r="AH11" s="35" t="n">
        <v>11.64</v>
      </c>
      <c r="AI11" s="35" t="n">
        <v>11.64</v>
      </c>
      <c r="AJ11" s="35" t="n">
        <v>10.38</v>
      </c>
      <c r="AK11" s="35" t="n">
        <v>0.93</v>
      </c>
      <c r="AL11" s="35" t="n">
        <v>0.93</v>
      </c>
      <c r="AM11" s="35" t="n">
        <v>0.16</v>
      </c>
      <c r="AN11" s="35" t="n">
        <v>0.03</v>
      </c>
      <c r="AO11" s="35" t="n">
        <v>0.19</v>
      </c>
      <c r="AP11" s="35" t="n">
        <v>128.14</v>
      </c>
      <c r="AQ11" s="31" t="n">
        <v>141369300000</v>
      </c>
      <c r="AR11" s="31" t="n">
        <v>197870522800</v>
      </c>
      <c r="AS11" t="inlineStr">
        <is>
          <t>5/6</t>
        </is>
      </c>
      <c r="AT11" t="n">
        <v>83.33</v>
      </c>
      <c r="AU11" t="inlineStr">
        <is>
          <t>3/6</t>
        </is>
      </c>
      <c r="AV11" t="n">
        <v>50</v>
      </c>
      <c r="AW11" s="31" t="n">
        <v>3141540000</v>
      </c>
      <c r="AX11" s="31" t="n">
        <v>5195798800</v>
      </c>
      <c r="AY11" s="31" t="n">
        <v>2054258800</v>
      </c>
      <c r="AZ11" s="35" t="n">
        <v>165.39</v>
      </c>
      <c r="BA11" s="17">
        <f>HYPERLINK("https://github.com/lottpicker/daily1689/blob/main/summary-v15.txt", "Click view")</f>
        <v/>
      </c>
    </row>
    <row r="12">
      <c r="A12" s="31" t="n">
        <v>16</v>
      </c>
      <c r="B12" s="31" t="inlineStr">
        <is>
          <t>100-369</t>
        </is>
      </c>
      <c r="C12" s="31" t="inlineStr">
        <is>
          <t>270</t>
        </is>
      </c>
      <c r="D12" s="35" t="n">
        <v>138.83</v>
      </c>
      <c r="E12" s="35" t="n">
        <v>54891292100</v>
      </c>
      <c r="F12" s="35" t="n">
        <v>40801</v>
      </c>
      <c r="G12" s="35" t="n">
        <v>3423</v>
      </c>
      <c r="H12" s="35" t="inlineStr">
        <is>
          <t>83/270</t>
        </is>
      </c>
      <c r="I12" s="35" t="n">
        <v>30.74</v>
      </c>
      <c r="J12" s="35" t="inlineStr">
        <is>
          <t>178/270</t>
        </is>
      </c>
      <c r="K12" s="35" t="n">
        <v>65.93000000000001</v>
      </c>
      <c r="L12" s="35" t="inlineStr">
        <is>
          <t>95/270</t>
        </is>
      </c>
      <c r="M12" s="35" t="n">
        <v>35.19</v>
      </c>
      <c r="N12" s="35" t="inlineStr">
        <is>
          <t>67/270</t>
        </is>
      </c>
      <c r="O12" s="35" t="n">
        <v>24.81</v>
      </c>
      <c r="P12" s="35" t="inlineStr">
        <is>
          <t>58/270</t>
        </is>
      </c>
      <c r="Q12" s="35" t="n">
        <v>21.48</v>
      </c>
      <c r="R12" s="35" t="inlineStr">
        <is>
          <t>55/270</t>
        </is>
      </c>
      <c r="S12" s="35" t="n">
        <v>20.37</v>
      </c>
      <c r="T12" s="35" t="inlineStr">
        <is>
          <t>27/27</t>
        </is>
      </c>
      <c r="U12" s="35" t="n">
        <v>100</v>
      </c>
      <c r="V12" s="35" t="inlineStr">
        <is>
          <t>25/27</t>
        </is>
      </c>
      <c r="W12" s="35" t="n">
        <v>92.59</v>
      </c>
      <c r="X12" s="35" t="n">
        <v>34759</v>
      </c>
      <c r="Y12" s="35" t="n">
        <v>3201</v>
      </c>
      <c r="Z12" s="35" t="n">
        <v>37960</v>
      </c>
      <c r="AA12" s="35" t="n">
        <v>2349</v>
      </c>
      <c r="AB12" s="35" t="n">
        <v>217</v>
      </c>
      <c r="AC12" s="35" t="n">
        <v>2786</v>
      </c>
      <c r="AD12" s="35" t="n">
        <v>50</v>
      </c>
      <c r="AE12" s="35" t="n">
        <v>5</v>
      </c>
      <c r="AF12" s="35" t="n">
        <v>55</v>
      </c>
      <c r="AG12" s="35" t="n">
        <v>128.74</v>
      </c>
      <c r="AH12" s="35" t="n">
        <v>11.86</v>
      </c>
      <c r="AI12" s="35" t="n">
        <v>11.86</v>
      </c>
      <c r="AJ12" s="35" t="n">
        <v>10.32</v>
      </c>
      <c r="AK12" s="35" t="n">
        <v>0.8</v>
      </c>
      <c r="AL12" s="35" t="n">
        <v>0.8</v>
      </c>
      <c r="AM12" s="35" t="n">
        <v>0.19</v>
      </c>
      <c r="AN12" s="35" t="n">
        <v>0.02</v>
      </c>
      <c r="AO12" s="35" t="n">
        <v>0.2</v>
      </c>
      <c r="AP12" s="35" t="n">
        <v>128.07</v>
      </c>
      <c r="AQ12" s="31" t="n">
        <v>141369300000</v>
      </c>
      <c r="AR12" s="31" t="n">
        <v>196260592100</v>
      </c>
      <c r="AS12" t="inlineStr">
        <is>
          <t>5/6</t>
        </is>
      </c>
      <c r="AT12" t="n">
        <v>83.33</v>
      </c>
      <c r="AU12" t="inlineStr">
        <is>
          <t>3/6</t>
        </is>
      </c>
      <c r="AV12" t="n">
        <v>50</v>
      </c>
      <c r="AW12" s="31" t="n">
        <v>3141540000</v>
      </c>
      <c r="AX12" s="31" t="n">
        <v>5516919200</v>
      </c>
      <c r="AY12" s="31" t="n">
        <v>2375379200</v>
      </c>
      <c r="AZ12" s="35" t="n">
        <v>175.61</v>
      </c>
      <c r="BA12" s="17">
        <f>HYPERLINK("https://github.com/lottpicker/daily1689/blob/main/summary-v16.txt", "Click view")</f>
        <v/>
      </c>
    </row>
    <row r="13">
      <c r="A13" s="31" t="n">
        <v>44</v>
      </c>
      <c r="B13" s="31" t="inlineStr">
        <is>
          <t>100-369</t>
        </is>
      </c>
      <c r="C13" s="31" t="inlineStr">
        <is>
          <t>270</t>
        </is>
      </c>
      <c r="D13" s="35" t="n">
        <v>134.39</v>
      </c>
      <c r="E13" s="35" t="n">
        <v>48611685100</v>
      </c>
      <c r="F13" s="35" t="n">
        <v>40738</v>
      </c>
      <c r="G13" s="35" t="n">
        <v>3283</v>
      </c>
      <c r="H13" s="35" t="inlineStr">
        <is>
          <t>91/270</t>
        </is>
      </c>
      <c r="I13" s="35" t="n">
        <v>33.7</v>
      </c>
      <c r="J13" s="35" t="inlineStr">
        <is>
          <t>174/270</t>
        </is>
      </c>
      <c r="K13" s="35" t="n">
        <v>64.44</v>
      </c>
      <c r="L13" s="35" t="inlineStr">
        <is>
          <t>89/270</t>
        </is>
      </c>
      <c r="M13" s="35" t="n">
        <v>32.96</v>
      </c>
      <c r="N13" s="35" t="inlineStr">
        <is>
          <t>66/270</t>
        </is>
      </c>
      <c r="O13" s="35" t="n">
        <v>24.44</v>
      </c>
      <c r="P13" s="35" t="inlineStr">
        <is>
          <t>53/270</t>
        </is>
      </c>
      <c r="Q13" s="35" t="n">
        <v>19.63</v>
      </c>
      <c r="R13" s="35" t="inlineStr">
        <is>
          <t>52/270</t>
        </is>
      </c>
      <c r="S13" s="35" t="n">
        <v>19.26</v>
      </c>
      <c r="T13" s="35" t="inlineStr">
        <is>
          <t>24/27</t>
        </is>
      </c>
      <c r="U13" s="35" t="n">
        <v>88.89</v>
      </c>
      <c r="V13" s="35" t="inlineStr">
        <is>
          <t>24/27</t>
        </is>
      </c>
      <c r="W13" s="35" t="n">
        <v>88.89</v>
      </c>
      <c r="X13" s="35" t="n">
        <v>34811</v>
      </c>
      <c r="Y13" s="35" t="n">
        <v>3073</v>
      </c>
      <c r="Z13" s="35" t="n">
        <v>37884</v>
      </c>
      <c r="AA13" s="35" t="n">
        <v>2389</v>
      </c>
      <c r="AB13" s="35" t="n">
        <v>205</v>
      </c>
      <c r="AC13" s="35" t="n">
        <v>2802</v>
      </c>
      <c r="AD13" s="35" t="n">
        <v>47</v>
      </c>
      <c r="AE13" s="35" t="n">
        <v>5</v>
      </c>
      <c r="AF13" s="35" t="n">
        <v>52</v>
      </c>
      <c r="AG13" s="35" t="n">
        <v>128.93</v>
      </c>
      <c r="AH13" s="35" t="n">
        <v>11.38</v>
      </c>
      <c r="AI13" s="35" t="n">
        <v>11.38</v>
      </c>
      <c r="AJ13" s="35" t="n">
        <v>10.38</v>
      </c>
      <c r="AK13" s="35" t="n">
        <v>0.76</v>
      </c>
      <c r="AL13" s="35" t="n">
        <v>0.76</v>
      </c>
      <c r="AM13" s="35" t="n">
        <v>0.17</v>
      </c>
      <c r="AN13" s="35" t="n">
        <v>0.02</v>
      </c>
      <c r="AO13" s="35" t="n">
        <v>0.19</v>
      </c>
      <c r="AP13" s="35" t="n">
        <v>128.61</v>
      </c>
      <c r="AQ13" s="31" t="n">
        <v>141369300000</v>
      </c>
      <c r="AR13" s="31" t="n">
        <v>189980985100</v>
      </c>
      <c r="AS13" t="inlineStr">
        <is>
          <t>5/6</t>
        </is>
      </c>
      <c r="AT13" t="n">
        <v>83.33</v>
      </c>
      <c r="AU13" t="inlineStr">
        <is>
          <t>3/6</t>
        </is>
      </c>
      <c r="AV13" t="n">
        <v>50</v>
      </c>
      <c r="AW13" s="31" t="n">
        <v>3141540000</v>
      </c>
      <c r="AX13" s="31" t="n">
        <v>5570333000</v>
      </c>
      <c r="AY13" s="31" t="n">
        <v>2428793000</v>
      </c>
      <c r="AZ13" s="35" t="n">
        <v>177.31</v>
      </c>
      <c r="BA13" s="17">
        <f>HYPERLINK("https://github.com/lottpicker/daily1689/blob/main/summary-v44.txt", "Click view")</f>
        <v/>
      </c>
    </row>
    <row r="14">
      <c r="A14" s="31" t="n">
        <v>66</v>
      </c>
      <c r="B14" s="31" t="inlineStr">
        <is>
          <t>100-369</t>
        </is>
      </c>
      <c r="C14" s="31" t="inlineStr">
        <is>
          <t>270</t>
        </is>
      </c>
      <c r="D14" s="35" t="n">
        <v>137.83</v>
      </c>
      <c r="E14" s="35" t="n">
        <v>53476564700</v>
      </c>
      <c r="F14" s="35" t="n">
        <v>40738</v>
      </c>
      <c r="G14" s="35" t="n">
        <v>3428</v>
      </c>
      <c r="H14" s="35" t="inlineStr">
        <is>
          <t>74/270</t>
        </is>
      </c>
      <c r="I14" s="35" t="n">
        <v>27.41</v>
      </c>
      <c r="J14" s="35" t="inlineStr">
        <is>
          <t>187/270</t>
        </is>
      </c>
      <c r="K14" s="35" t="n">
        <v>69.26000000000001</v>
      </c>
      <c r="L14" s="35" t="inlineStr">
        <is>
          <t>91/270</t>
        </is>
      </c>
      <c r="M14" s="35" t="n">
        <v>33.7</v>
      </c>
      <c r="N14" s="35" t="inlineStr">
        <is>
          <t>58/270</t>
        </is>
      </c>
      <c r="O14" s="35" t="n">
        <v>21.48</v>
      </c>
      <c r="P14" s="35" t="inlineStr">
        <is>
          <t>52/270</t>
        </is>
      </c>
      <c r="Q14" s="35" t="n">
        <v>19.26</v>
      </c>
      <c r="R14" s="35" t="inlineStr">
        <is>
          <t>52/270</t>
        </is>
      </c>
      <c r="S14" s="35" t="n">
        <v>19.26</v>
      </c>
      <c r="T14" s="35" t="inlineStr">
        <is>
          <t>26/27</t>
        </is>
      </c>
      <c r="U14" s="35" t="n">
        <v>96.3</v>
      </c>
      <c r="V14" s="35" t="inlineStr">
        <is>
          <t>24/27</t>
        </is>
      </c>
      <c r="W14" s="35" t="n">
        <v>88.89</v>
      </c>
      <c r="X14" s="35" t="n">
        <v>34689</v>
      </c>
      <c r="Y14" s="35" t="n">
        <v>3195</v>
      </c>
      <c r="Z14" s="35" t="n">
        <v>37884</v>
      </c>
      <c r="AA14" s="35" t="n">
        <v>2363</v>
      </c>
      <c r="AB14" s="35" t="n">
        <v>231</v>
      </c>
      <c r="AC14" s="35" t="n">
        <v>2802</v>
      </c>
      <c r="AD14" s="35" t="n">
        <v>50</v>
      </c>
      <c r="AE14" s="35" t="n">
        <v>2</v>
      </c>
      <c r="AF14" s="35" t="n">
        <v>52</v>
      </c>
      <c r="AG14" s="35" t="n">
        <v>128.48</v>
      </c>
      <c r="AH14" s="35" t="n">
        <v>11.83</v>
      </c>
      <c r="AI14" s="35" t="n">
        <v>11.83</v>
      </c>
      <c r="AJ14" s="35" t="n">
        <v>10.38</v>
      </c>
      <c r="AK14" s="35" t="n">
        <v>0.86</v>
      </c>
      <c r="AL14" s="35" t="n">
        <v>0.86</v>
      </c>
      <c r="AM14" s="35" t="n">
        <v>0.19</v>
      </c>
      <c r="AN14" s="35" t="n">
        <v>0.01</v>
      </c>
      <c r="AO14" s="35" t="n">
        <v>0.19</v>
      </c>
      <c r="AP14" s="35" t="n">
        <v>128.05</v>
      </c>
      <c r="AQ14" s="31" t="n">
        <v>141369300000</v>
      </c>
      <c r="AR14" s="31" t="n">
        <v>194845864700</v>
      </c>
      <c r="AS14" t="inlineStr">
        <is>
          <t>5/6</t>
        </is>
      </c>
      <c r="AT14" t="n">
        <v>83.33</v>
      </c>
      <c r="AU14" t="inlineStr">
        <is>
          <t>3/6</t>
        </is>
      </c>
      <c r="AV14" t="n">
        <v>50</v>
      </c>
      <c r="AW14" s="31" t="n">
        <v>3141540000</v>
      </c>
      <c r="AX14" s="31" t="n">
        <v>5541648000</v>
      </c>
      <c r="AY14" s="31" t="n">
        <v>2400108000</v>
      </c>
      <c r="AZ14" s="35" t="n">
        <v>176.4</v>
      </c>
      <c r="BA14">
        <f>HYPERLINK("https://github.com/lottpicker/daily1689/blob/main/summary-v66.txt", "Click view")</f>
        <v/>
      </c>
    </row>
    <row r="15">
      <c r="A15" s="31" t="n">
        <v>13</v>
      </c>
      <c r="B15" s="31" t="inlineStr">
        <is>
          <t>100-369</t>
        </is>
      </c>
      <c r="C15" s="31" t="inlineStr">
        <is>
          <t>270</t>
        </is>
      </c>
      <c r="D15" s="35" t="n">
        <v>129.28</v>
      </c>
      <c r="E15" s="35" t="n">
        <v>41393479900</v>
      </c>
      <c r="F15" s="35" t="n">
        <v>40743</v>
      </c>
      <c r="G15" s="35" t="n">
        <v>3419</v>
      </c>
      <c r="H15" s="35" t="inlineStr">
        <is>
          <t>95/270</t>
        </is>
      </c>
      <c r="I15" s="35" t="n">
        <v>35.19</v>
      </c>
      <c r="J15" s="35" t="inlineStr">
        <is>
          <t>170/270</t>
        </is>
      </c>
      <c r="K15" s="35" t="n">
        <v>62.96</v>
      </c>
      <c r="L15" s="35" t="inlineStr">
        <is>
          <t>91/270</t>
        </is>
      </c>
      <c r="M15" s="35" t="n">
        <v>33.7</v>
      </c>
      <c r="N15" s="35" t="inlineStr">
        <is>
          <t>58/270</t>
        </is>
      </c>
      <c r="O15" s="35" t="n">
        <v>21.48</v>
      </c>
      <c r="P15" s="35" t="inlineStr">
        <is>
          <t>50/270</t>
        </is>
      </c>
      <c r="Q15" s="35" t="n">
        <v>18.52</v>
      </c>
      <c r="R15" s="35" t="inlineStr">
        <is>
          <t>44/270</t>
        </is>
      </c>
      <c r="S15" s="35" t="n">
        <v>16.3</v>
      </c>
      <c r="T15" s="35" t="inlineStr">
        <is>
          <t>25/27</t>
        </is>
      </c>
      <c r="U15" s="35" t="n">
        <v>92.59</v>
      </c>
      <c r="V15" s="35" t="inlineStr">
        <is>
          <t>21/27</t>
        </is>
      </c>
      <c r="W15" s="35" t="n">
        <v>77.78</v>
      </c>
      <c r="X15" s="35" t="n">
        <v>34727</v>
      </c>
      <c r="Y15" s="35" t="n">
        <v>3194</v>
      </c>
      <c r="Z15" s="35" t="n">
        <v>37921</v>
      </c>
      <c r="AA15" s="35" t="n">
        <v>2381</v>
      </c>
      <c r="AB15" s="35" t="n">
        <v>221</v>
      </c>
      <c r="AC15" s="35" t="n">
        <v>2778</v>
      </c>
      <c r="AD15" s="35" t="n">
        <v>40</v>
      </c>
      <c r="AE15" s="35" t="n">
        <v>4</v>
      </c>
      <c r="AF15" s="35" t="n">
        <v>44</v>
      </c>
      <c r="AG15" s="35" t="n">
        <v>128.62</v>
      </c>
      <c r="AH15" s="35" t="n">
        <v>11.83</v>
      </c>
      <c r="AI15" s="35" t="n">
        <v>11.83</v>
      </c>
      <c r="AJ15" s="35" t="n">
        <v>10.29</v>
      </c>
      <c r="AK15" s="35" t="n">
        <v>0.82</v>
      </c>
      <c r="AL15" s="35" t="n">
        <v>0.82</v>
      </c>
      <c r="AM15" s="35" t="n">
        <v>0.15</v>
      </c>
      <c r="AN15" s="35" t="n">
        <v>0.01</v>
      </c>
      <c r="AO15" s="35" t="n">
        <v>0.16</v>
      </c>
      <c r="AP15" s="35" t="n">
        <v>128.09</v>
      </c>
      <c r="AQ15" s="31" t="n">
        <v>141369300000</v>
      </c>
      <c r="AR15" s="31" t="n">
        <v>182762779900</v>
      </c>
      <c r="AS15" t="inlineStr">
        <is>
          <t>5/6</t>
        </is>
      </c>
      <c r="AT15" t="n">
        <v>83.33</v>
      </c>
      <c r="AU15" t="inlineStr">
        <is>
          <t>2/6</t>
        </is>
      </c>
      <c r="AV15" t="n">
        <v>33.33</v>
      </c>
      <c r="AW15" s="31" t="n">
        <v>3141540000</v>
      </c>
      <c r="AX15" s="31" t="n">
        <v>4301875800</v>
      </c>
      <c r="AY15" s="31" t="n">
        <v>1160335800</v>
      </c>
      <c r="AZ15" s="35" t="n">
        <v>136.94</v>
      </c>
      <c r="BA15" s="17">
        <f>HYPERLINK("https://github.com/lottpicker/daily1689/blob/main/summary-v13.txt", "Click view")</f>
        <v/>
      </c>
    </row>
    <row r="16">
      <c r="A16" s="31" t="n">
        <v>17</v>
      </c>
      <c r="B16" s="31" t="inlineStr">
        <is>
          <t>100-369</t>
        </is>
      </c>
      <c r="C16" s="31" t="inlineStr">
        <is>
          <t>270</t>
        </is>
      </c>
      <c r="D16" s="35" t="n">
        <v>129.15</v>
      </c>
      <c r="E16" s="35" t="n">
        <v>41203948100</v>
      </c>
      <c r="F16" s="35" t="n">
        <v>40700</v>
      </c>
      <c r="G16" s="35" t="n">
        <v>3369</v>
      </c>
      <c r="H16" s="35" t="inlineStr">
        <is>
          <t>79/270</t>
        </is>
      </c>
      <c r="I16" s="35" t="n">
        <v>29.26</v>
      </c>
      <c r="J16" s="35" t="inlineStr">
        <is>
          <t>187/270</t>
        </is>
      </c>
      <c r="K16" s="35" t="n">
        <v>69.26000000000001</v>
      </c>
      <c r="L16" s="35" t="inlineStr">
        <is>
          <t>91/270</t>
        </is>
      </c>
      <c r="M16" s="35" t="n">
        <v>33.7</v>
      </c>
      <c r="N16" s="35" t="inlineStr">
        <is>
          <t>52/270</t>
        </is>
      </c>
      <c r="O16" s="35" t="n">
        <v>19.26</v>
      </c>
      <c r="P16" s="35" t="inlineStr">
        <is>
          <t>43/270</t>
        </is>
      </c>
      <c r="Q16" s="35" t="n">
        <v>15.93</v>
      </c>
      <c r="R16" s="35" t="inlineStr">
        <is>
          <t>43/270</t>
        </is>
      </c>
      <c r="S16" s="35" t="n">
        <v>15.93</v>
      </c>
      <c r="T16" s="35" t="inlineStr">
        <is>
          <t>27/27</t>
        </is>
      </c>
      <c r="U16" s="35" t="n">
        <v>100</v>
      </c>
      <c r="V16" s="35" t="inlineStr">
        <is>
          <t>25/27</t>
        </is>
      </c>
      <c r="W16" s="35" t="n">
        <v>92.59</v>
      </c>
      <c r="X16" s="35" t="n">
        <v>34731</v>
      </c>
      <c r="Y16" s="35" t="n">
        <v>3136</v>
      </c>
      <c r="Z16" s="35" t="n">
        <v>37867</v>
      </c>
      <c r="AA16" s="35" t="n">
        <v>2389</v>
      </c>
      <c r="AB16" s="35" t="n">
        <v>229</v>
      </c>
      <c r="AC16" s="35" t="n">
        <v>2790</v>
      </c>
      <c r="AD16" s="35" t="n">
        <v>39</v>
      </c>
      <c r="AE16" s="35" t="n">
        <v>4</v>
      </c>
      <c r="AF16" s="35" t="n">
        <v>43</v>
      </c>
      <c r="AG16" s="35" t="n">
        <v>128.63</v>
      </c>
      <c r="AH16" s="35" t="n">
        <v>11.61</v>
      </c>
      <c r="AI16" s="35" t="n">
        <v>11.61</v>
      </c>
      <c r="AJ16" s="35" t="n">
        <v>10.33</v>
      </c>
      <c r="AK16" s="35" t="n">
        <v>0.85</v>
      </c>
      <c r="AL16" s="35" t="n">
        <v>0.85</v>
      </c>
      <c r="AM16" s="35" t="n">
        <v>0.14</v>
      </c>
      <c r="AN16" s="35" t="n">
        <v>0.01</v>
      </c>
      <c r="AO16" s="35" t="n">
        <v>0.16</v>
      </c>
      <c r="AP16" s="35" t="n">
        <v>128.27</v>
      </c>
      <c r="AQ16" s="31" t="n">
        <v>141369300000</v>
      </c>
      <c r="AR16" s="31" t="n">
        <v>182573248100</v>
      </c>
      <c r="AS16" t="inlineStr">
        <is>
          <t>5/6</t>
        </is>
      </c>
      <c r="AT16" t="n">
        <v>83.33</v>
      </c>
      <c r="AU16" t="inlineStr">
        <is>
          <t>3/6</t>
        </is>
      </c>
      <c r="AV16" t="n">
        <v>50</v>
      </c>
      <c r="AW16" s="31" t="n">
        <v>3141540000</v>
      </c>
      <c r="AX16" s="31" t="n">
        <v>5344917900</v>
      </c>
      <c r="AY16" s="31" t="n">
        <v>2203377900</v>
      </c>
      <c r="AZ16" s="35" t="n">
        <v>170.14</v>
      </c>
      <c r="BA16" s="17">
        <f>HYPERLINK("https://github.com/lottpicker/daily1689/blob/main/summary-v17.txt", "Click view")</f>
        <v/>
      </c>
    </row>
    <row r="17">
      <c r="A17" s="31" t="n">
        <v>18</v>
      </c>
      <c r="B17" s="31" t="inlineStr">
        <is>
          <t>100-369</t>
        </is>
      </c>
      <c r="C17" s="31" t="inlineStr">
        <is>
          <t>270</t>
        </is>
      </c>
      <c r="D17" s="35" t="n">
        <v>131.91</v>
      </c>
      <c r="E17" s="35" t="n">
        <v>45116576700</v>
      </c>
      <c r="F17" s="35" t="n">
        <v>40715</v>
      </c>
      <c r="G17" s="35" t="n">
        <v>3314</v>
      </c>
      <c r="H17" s="35" t="inlineStr">
        <is>
          <t>87/270</t>
        </is>
      </c>
      <c r="I17" s="35" t="n">
        <v>32.22</v>
      </c>
      <c r="J17" s="35" t="inlineStr">
        <is>
          <t>176/270</t>
        </is>
      </c>
      <c r="K17" s="35" t="n">
        <v>65.19</v>
      </c>
      <c r="L17" s="35" t="inlineStr">
        <is>
          <t>94/270</t>
        </is>
      </c>
      <c r="M17" s="35" t="n">
        <v>34.81</v>
      </c>
      <c r="N17" s="35" t="inlineStr">
        <is>
          <t>59/270</t>
        </is>
      </c>
      <c r="O17" s="35" t="n">
        <v>21.85</v>
      </c>
      <c r="P17" s="35" t="inlineStr">
        <is>
          <t>52/270</t>
        </is>
      </c>
      <c r="Q17" s="35" t="n">
        <v>19.26</v>
      </c>
      <c r="R17" s="35" t="inlineStr">
        <is>
          <t>46/270</t>
        </is>
      </c>
      <c r="S17" s="35" t="n">
        <v>17.04</v>
      </c>
      <c r="T17" s="35" t="inlineStr">
        <is>
          <t>24/27</t>
        </is>
      </c>
      <c r="U17" s="35" t="n">
        <v>88.89</v>
      </c>
      <c r="V17" s="35" t="inlineStr">
        <is>
          <t>24/27</t>
        </is>
      </c>
      <c r="W17" s="35" t="n">
        <v>88.89</v>
      </c>
      <c r="X17" s="35" t="n">
        <v>34792</v>
      </c>
      <c r="Y17" s="35" t="n">
        <v>3079</v>
      </c>
      <c r="Z17" s="35" t="n">
        <v>37871</v>
      </c>
      <c r="AA17" s="35" t="n">
        <v>2383</v>
      </c>
      <c r="AB17" s="35" t="n">
        <v>231</v>
      </c>
      <c r="AC17" s="35" t="n">
        <v>2798</v>
      </c>
      <c r="AD17" s="35" t="n">
        <v>42</v>
      </c>
      <c r="AE17" s="35" t="n">
        <v>4</v>
      </c>
      <c r="AF17" s="35" t="n">
        <v>46</v>
      </c>
      <c r="AG17" s="35" t="n">
        <v>128.86</v>
      </c>
      <c r="AH17" s="35" t="n">
        <v>11.4</v>
      </c>
      <c r="AI17" s="35" t="n">
        <v>11.4</v>
      </c>
      <c r="AJ17" s="35" t="n">
        <v>10.36</v>
      </c>
      <c r="AK17" s="35" t="n">
        <v>0.86</v>
      </c>
      <c r="AL17" s="35" t="n">
        <v>0.86</v>
      </c>
      <c r="AM17" s="35" t="n">
        <v>0.16</v>
      </c>
      <c r="AN17" s="35" t="n">
        <v>0.01</v>
      </c>
      <c r="AO17" s="35" t="n">
        <v>0.17</v>
      </c>
      <c r="AP17" s="35" t="n">
        <v>128.47</v>
      </c>
      <c r="AQ17" s="31" t="n">
        <v>141369300000</v>
      </c>
      <c r="AR17" s="31" t="n">
        <v>186485876700</v>
      </c>
      <c r="AS17" t="inlineStr">
        <is>
          <t>5/6</t>
        </is>
      </c>
      <c r="AT17" t="n">
        <v>83.33</v>
      </c>
      <c r="AU17" t="inlineStr">
        <is>
          <t>2/6</t>
        </is>
      </c>
      <c r="AV17" t="n">
        <v>33.33</v>
      </c>
      <c r="AW17" s="31" t="n">
        <v>3141540000</v>
      </c>
      <c r="AX17" s="31" t="n">
        <v>4053526900</v>
      </c>
      <c r="AY17" s="31" t="n">
        <v>911986900</v>
      </c>
      <c r="AZ17" s="35" t="n">
        <v>129.03</v>
      </c>
      <c r="BA17" s="17">
        <f>HYPERLINK("https://github.com/lottpicker/daily1689/blob/main/summary-v18.txt", "Click view")</f>
        <v/>
      </c>
    </row>
    <row r="18">
      <c r="A18" s="31" t="n">
        <v>31</v>
      </c>
      <c r="B18" s="31" t="inlineStr">
        <is>
          <t>100-369</t>
        </is>
      </c>
      <c r="C18" s="31" t="inlineStr">
        <is>
          <t>270</t>
        </is>
      </c>
      <c r="D18" s="35" t="n">
        <v>136.95</v>
      </c>
      <c r="E18" s="35" t="n">
        <v>52242148000</v>
      </c>
      <c r="F18" s="35" t="n">
        <v>40771</v>
      </c>
      <c r="G18" s="35" t="n">
        <v>3348</v>
      </c>
      <c r="H18" s="35" t="inlineStr">
        <is>
          <t>84/270</t>
        </is>
      </c>
      <c r="I18" s="35" t="n">
        <v>31.11</v>
      </c>
      <c r="J18" s="35" t="inlineStr">
        <is>
          <t>178/270</t>
        </is>
      </c>
      <c r="K18" s="35" t="n">
        <v>65.93000000000001</v>
      </c>
      <c r="L18" s="35" t="inlineStr">
        <is>
          <t>93/270</t>
        </is>
      </c>
      <c r="M18" s="35" t="n">
        <v>34.44</v>
      </c>
      <c r="N18" s="35" t="inlineStr">
        <is>
          <t>62/270</t>
        </is>
      </c>
      <c r="O18" s="35" t="n">
        <v>22.96</v>
      </c>
      <c r="P18" s="35" t="inlineStr">
        <is>
          <t>57/270</t>
        </is>
      </c>
      <c r="Q18" s="35" t="n">
        <v>21.11</v>
      </c>
      <c r="R18" s="35" t="inlineStr">
        <is>
          <t>55/270</t>
        </is>
      </c>
      <c r="S18" s="35" t="n">
        <v>20.37</v>
      </c>
      <c r="T18" s="35" t="inlineStr">
        <is>
          <t>25/27</t>
        </is>
      </c>
      <c r="U18" s="35" t="n">
        <v>92.59</v>
      </c>
      <c r="V18" s="35" t="inlineStr">
        <is>
          <t>23/27</t>
        </is>
      </c>
      <c r="W18" s="35" t="n">
        <v>85.19</v>
      </c>
      <c r="X18" s="35" t="n">
        <v>34780</v>
      </c>
      <c r="Y18" s="35" t="n">
        <v>3144</v>
      </c>
      <c r="Z18" s="35" t="n">
        <v>37924</v>
      </c>
      <c r="AA18" s="35" t="n">
        <v>2370</v>
      </c>
      <c r="AB18" s="35" t="n">
        <v>202</v>
      </c>
      <c r="AC18" s="35" t="n">
        <v>2792</v>
      </c>
      <c r="AD18" s="35" t="n">
        <v>53</v>
      </c>
      <c r="AE18" s="35" t="n">
        <v>2</v>
      </c>
      <c r="AF18" s="35" t="n">
        <v>55</v>
      </c>
      <c r="AG18" s="35" t="n">
        <v>128.81</v>
      </c>
      <c r="AH18" s="35" t="n">
        <v>11.64</v>
      </c>
      <c r="AI18" s="35" t="n">
        <v>11.64</v>
      </c>
      <c r="AJ18" s="35" t="n">
        <v>10.34</v>
      </c>
      <c r="AK18" s="35" t="n">
        <v>0.75</v>
      </c>
      <c r="AL18" s="35" t="n">
        <v>0.75</v>
      </c>
      <c r="AM18" s="35" t="n">
        <v>0.2</v>
      </c>
      <c r="AN18" s="35" t="n">
        <v>0.01</v>
      </c>
      <c r="AO18" s="35" t="n">
        <v>0.2</v>
      </c>
      <c r="AP18" s="35" t="n">
        <v>128.35</v>
      </c>
      <c r="AQ18" s="31" t="n">
        <v>141369300000</v>
      </c>
      <c r="AR18" s="31" t="n">
        <v>193611448000</v>
      </c>
      <c r="AS18" t="inlineStr">
        <is>
          <t>5/6</t>
        </is>
      </c>
      <c r="AT18" t="n">
        <v>83.33</v>
      </c>
      <c r="AU18" t="inlineStr">
        <is>
          <t>2/6</t>
        </is>
      </c>
      <c r="AV18" t="n">
        <v>33.33</v>
      </c>
      <c r="AW18" s="31" t="n">
        <v>3141540000</v>
      </c>
      <c r="AX18" s="31" t="n">
        <v>4112992300</v>
      </c>
      <c r="AY18" s="31" t="n">
        <v>971452300</v>
      </c>
      <c r="AZ18" s="35" t="n">
        <v>130.92</v>
      </c>
      <c r="BA18" s="17">
        <f>HYPERLINK("https://github.com/lottpicker/daily1689/blob/main/summary-v31.txt", "Click view")</f>
        <v/>
      </c>
    </row>
    <row r="19">
      <c r="A19" s="31" t="n">
        <v>32</v>
      </c>
      <c r="B19" s="31" t="inlineStr">
        <is>
          <t>100-369</t>
        </is>
      </c>
      <c r="C19" s="31" t="inlineStr">
        <is>
          <t>270</t>
        </is>
      </c>
      <c r="D19" s="35" t="n">
        <v>131.93</v>
      </c>
      <c r="E19" s="35" t="n">
        <v>45171549600</v>
      </c>
      <c r="F19" s="35" t="n">
        <v>40773</v>
      </c>
      <c r="G19" s="35" t="n">
        <v>3434</v>
      </c>
      <c r="H19" s="35" t="inlineStr">
        <is>
          <t>82/270</t>
        </is>
      </c>
      <c r="I19" s="35" t="n">
        <v>30.37</v>
      </c>
      <c r="J19" s="35" t="inlineStr">
        <is>
          <t>185/270</t>
        </is>
      </c>
      <c r="K19" s="35" t="n">
        <v>68.52</v>
      </c>
      <c r="L19" s="35" t="inlineStr">
        <is>
          <t>91/270</t>
        </is>
      </c>
      <c r="M19" s="35" t="n">
        <v>33.7</v>
      </c>
      <c r="N19" s="35" t="inlineStr">
        <is>
          <t>55/270</t>
        </is>
      </c>
      <c r="O19" s="35" t="n">
        <v>20.37</v>
      </c>
      <c r="P19" s="35" t="inlineStr">
        <is>
          <t>48/270</t>
        </is>
      </c>
      <c r="Q19" s="35" t="n">
        <v>17.78</v>
      </c>
      <c r="R19" s="35" t="inlineStr">
        <is>
          <t>45/270</t>
        </is>
      </c>
      <c r="S19" s="35" t="n">
        <v>16.67</v>
      </c>
      <c r="T19" s="35" t="inlineStr">
        <is>
          <t>24/27</t>
        </is>
      </c>
      <c r="U19" s="35" t="n">
        <v>88.89</v>
      </c>
      <c r="V19" s="35" t="inlineStr">
        <is>
          <t>21/27</t>
        </is>
      </c>
      <c r="W19" s="35" t="n">
        <v>77.78</v>
      </c>
      <c r="X19" s="35" t="n">
        <v>34736</v>
      </c>
      <c r="Y19" s="35" t="n">
        <v>3205</v>
      </c>
      <c r="Z19" s="35" t="n">
        <v>37941</v>
      </c>
      <c r="AA19" s="35" t="n">
        <v>2374</v>
      </c>
      <c r="AB19" s="35" t="n">
        <v>228</v>
      </c>
      <c r="AC19" s="35" t="n">
        <v>2786</v>
      </c>
      <c r="AD19" s="35" t="n">
        <v>45</v>
      </c>
      <c r="AE19" s="35" t="n">
        <v>1</v>
      </c>
      <c r="AF19" s="35" t="n">
        <v>46</v>
      </c>
      <c r="AG19" s="35" t="n">
        <v>128.65</v>
      </c>
      <c r="AH19" s="35" t="n">
        <v>11.87</v>
      </c>
      <c r="AI19" s="35" t="n">
        <v>11.87</v>
      </c>
      <c r="AJ19" s="35" t="n">
        <v>10.32</v>
      </c>
      <c r="AK19" s="35" t="n">
        <v>0.84</v>
      </c>
      <c r="AL19" s="35" t="n">
        <v>0.84</v>
      </c>
      <c r="AM19" s="35" t="n">
        <v>0.17</v>
      </c>
      <c r="AN19" s="35" t="n">
        <v>0</v>
      </c>
      <c r="AO19" s="35" t="n">
        <v>0.17</v>
      </c>
      <c r="AP19" s="35" t="n">
        <v>128.11</v>
      </c>
      <c r="AQ19" s="31" t="n">
        <v>141453000000</v>
      </c>
      <c r="AR19" s="31" t="n">
        <v>186624549600</v>
      </c>
      <c r="AS19" t="inlineStr">
        <is>
          <t>5/6</t>
        </is>
      </c>
      <c r="AT19" t="n">
        <v>83.33</v>
      </c>
      <c r="AU19" t="inlineStr">
        <is>
          <t>3/6</t>
        </is>
      </c>
      <c r="AV19" t="n">
        <v>50</v>
      </c>
      <c r="AW19" s="31" t="n">
        <v>3143400000</v>
      </c>
      <c r="AX19" s="31" t="n">
        <v>4133592700</v>
      </c>
      <c r="AY19" s="31" t="n">
        <v>990192700</v>
      </c>
      <c r="AZ19" s="35" t="n">
        <v>131.5</v>
      </c>
      <c r="BA19" s="17">
        <f>HYPERLINK("https://github.com/lottpicker/daily1689/blob/main/summary-v32.txt", "Click view")</f>
        <v/>
      </c>
    </row>
    <row r="20">
      <c r="A20" s="31" t="n">
        <v>35</v>
      </c>
      <c r="B20" s="31" t="inlineStr">
        <is>
          <t>100-369</t>
        </is>
      </c>
      <c r="C20" s="31" t="inlineStr">
        <is>
          <t>270</t>
        </is>
      </c>
      <c r="D20" s="35" t="n">
        <v>127.01</v>
      </c>
      <c r="E20" s="35" t="n">
        <v>38200519700</v>
      </c>
      <c r="F20" s="35" t="n">
        <v>40759</v>
      </c>
      <c r="G20" s="35" t="n">
        <v>3357</v>
      </c>
      <c r="H20" s="35" t="inlineStr">
        <is>
          <t>94/270</t>
        </is>
      </c>
      <c r="I20" s="35" t="n">
        <v>34.81</v>
      </c>
      <c r="J20" s="35" t="inlineStr">
        <is>
          <t>174/270</t>
        </is>
      </c>
      <c r="K20" s="35" t="n">
        <v>64.44</v>
      </c>
      <c r="L20" s="35" t="inlineStr">
        <is>
          <t>82/270</t>
        </is>
      </c>
      <c r="M20" s="35" t="n">
        <v>30.37</v>
      </c>
      <c r="N20" s="35" t="inlineStr">
        <is>
          <t>53/270</t>
        </is>
      </c>
      <c r="O20" s="35" t="n">
        <v>19.63</v>
      </c>
      <c r="P20" s="35" t="inlineStr">
        <is>
          <t>46/270</t>
        </is>
      </c>
      <c r="Q20" s="35" t="n">
        <v>17.04</v>
      </c>
      <c r="R20" s="35" t="inlineStr">
        <is>
          <t>43/270</t>
        </is>
      </c>
      <c r="S20" s="35" t="n">
        <v>15.93</v>
      </c>
      <c r="T20" s="35" t="inlineStr">
        <is>
          <t>26/27</t>
        </is>
      </c>
      <c r="U20" s="35" t="n">
        <v>96.3</v>
      </c>
      <c r="V20" s="35" t="inlineStr">
        <is>
          <t>25/27</t>
        </is>
      </c>
      <c r="W20" s="35" t="n">
        <v>92.59</v>
      </c>
      <c r="X20" s="35" t="n">
        <v>34793</v>
      </c>
      <c r="Y20" s="35" t="n">
        <v>3142</v>
      </c>
      <c r="Z20" s="35" t="n">
        <v>37935</v>
      </c>
      <c r="AA20" s="35" t="n">
        <v>2398</v>
      </c>
      <c r="AB20" s="35" t="n">
        <v>211</v>
      </c>
      <c r="AC20" s="35" t="n">
        <v>2781</v>
      </c>
      <c r="AD20" s="35" t="n">
        <v>39</v>
      </c>
      <c r="AE20" s="35" t="n">
        <v>4</v>
      </c>
      <c r="AF20" s="35" t="n">
        <v>43</v>
      </c>
      <c r="AG20" s="35" t="n">
        <v>128.86</v>
      </c>
      <c r="AH20" s="35" t="n">
        <v>11.64</v>
      </c>
      <c r="AI20" s="35" t="n">
        <v>11.64</v>
      </c>
      <c r="AJ20" s="35" t="n">
        <v>10.3</v>
      </c>
      <c r="AK20" s="35" t="n">
        <v>0.78</v>
      </c>
      <c r="AL20" s="35" t="n">
        <v>0.78</v>
      </c>
      <c r="AM20" s="35" t="n">
        <v>0.14</v>
      </c>
      <c r="AN20" s="35" t="n">
        <v>0.01</v>
      </c>
      <c r="AO20" s="35" t="n">
        <v>0.16</v>
      </c>
      <c r="AP20" s="35" t="n">
        <v>128.39</v>
      </c>
      <c r="AQ20" s="31" t="n">
        <v>141453000000</v>
      </c>
      <c r="AR20" s="31" t="n">
        <v>179653519700</v>
      </c>
      <c r="AS20" t="inlineStr">
        <is>
          <t>5/6</t>
        </is>
      </c>
      <c r="AT20" t="n">
        <v>83.33</v>
      </c>
      <c r="AU20" t="inlineStr">
        <is>
          <t>3/6</t>
        </is>
      </c>
      <c r="AV20" t="n">
        <v>50</v>
      </c>
      <c r="AW20" s="31" t="n">
        <v>3143400000</v>
      </c>
      <c r="AX20" s="31" t="n">
        <v>4287976100</v>
      </c>
      <c r="AY20" s="31" t="n">
        <v>1144576100</v>
      </c>
      <c r="AZ20" s="35" t="n">
        <v>136.41</v>
      </c>
      <c r="BA20" s="17">
        <f>HYPERLINK("https://github.com/lottpicker/daily1689/blob/main/summary-v35.txt", "Click view")</f>
        <v/>
      </c>
    </row>
    <row r="21">
      <c r="A21" s="31" t="n">
        <v>54</v>
      </c>
      <c r="B21" s="31" t="inlineStr">
        <is>
          <t>100-369</t>
        </is>
      </c>
      <c r="C21" s="31" t="inlineStr">
        <is>
          <t>270</t>
        </is>
      </c>
      <c r="D21" s="35" t="n">
        <v>133.11</v>
      </c>
      <c r="E21" s="35" t="n">
        <v>46813614000</v>
      </c>
      <c r="F21" s="35" t="n">
        <v>40738</v>
      </c>
      <c r="G21" s="35" t="n">
        <v>3257</v>
      </c>
      <c r="H21" s="35" t="inlineStr">
        <is>
          <t>100/270</t>
        </is>
      </c>
      <c r="I21" s="35" t="n">
        <v>37.04</v>
      </c>
      <c r="J21" s="35" t="inlineStr">
        <is>
          <t>163/270</t>
        </is>
      </c>
      <c r="K21" s="35" t="n">
        <v>60.37</v>
      </c>
      <c r="L21" s="35" t="inlineStr">
        <is>
          <t>91/270</t>
        </is>
      </c>
      <c r="M21" s="35" t="n">
        <v>33.7</v>
      </c>
      <c r="N21" s="35" t="inlineStr">
        <is>
          <t>58/270</t>
        </is>
      </c>
      <c r="O21" s="35" t="n">
        <v>21.48</v>
      </c>
      <c r="P21" s="35" t="inlineStr">
        <is>
          <t>53/270</t>
        </is>
      </c>
      <c r="Q21" s="35" t="n">
        <v>19.63</v>
      </c>
      <c r="R21" s="35" t="inlineStr">
        <is>
          <t>52/270</t>
        </is>
      </c>
      <c r="S21" s="35" t="n">
        <v>19.26</v>
      </c>
      <c r="T21" s="35" t="inlineStr">
        <is>
          <t>25/27</t>
        </is>
      </c>
      <c r="U21" s="35" t="n">
        <v>92.59</v>
      </c>
      <c r="V21" s="35" t="inlineStr">
        <is>
          <t>25/27</t>
        </is>
      </c>
      <c r="W21" s="35" t="n">
        <v>92.59</v>
      </c>
      <c r="X21" s="35" t="n">
        <v>34821</v>
      </c>
      <c r="Y21" s="35" t="n">
        <v>3063</v>
      </c>
      <c r="Z21" s="35" t="n">
        <v>37884</v>
      </c>
      <c r="AA21" s="35" t="n">
        <v>2400</v>
      </c>
      <c r="AB21" s="35" t="n">
        <v>194</v>
      </c>
      <c r="AC21" s="35" t="n">
        <v>2802</v>
      </c>
      <c r="AD21" s="35" t="n">
        <v>52</v>
      </c>
      <c r="AE21" s="35" t="n">
        <v>0</v>
      </c>
      <c r="AF21" s="35" t="n">
        <v>52</v>
      </c>
      <c r="AG21" s="35" t="n">
        <v>128.97</v>
      </c>
      <c r="AH21" s="35" t="n">
        <v>11.34</v>
      </c>
      <c r="AI21" s="35" t="n">
        <v>11.34</v>
      </c>
      <c r="AJ21" s="35" t="n">
        <v>10.38</v>
      </c>
      <c r="AK21" s="35" t="n">
        <v>0.72</v>
      </c>
      <c r="AL21" s="35" t="n">
        <v>0.72</v>
      </c>
      <c r="AM21" s="35" t="n">
        <v>0.19</v>
      </c>
      <c r="AN21" s="35" t="n">
        <v>0</v>
      </c>
      <c r="AO21" s="35" t="n">
        <v>0.19</v>
      </c>
      <c r="AP21" s="35" t="n">
        <v>128.68</v>
      </c>
      <c r="AQ21" s="31" t="n">
        <v>141369300000</v>
      </c>
      <c r="AR21" s="31" t="n">
        <v>188182914000</v>
      </c>
      <c r="AS21" t="inlineStr">
        <is>
          <t>5/6</t>
        </is>
      </c>
      <c r="AT21" t="n">
        <v>83.33</v>
      </c>
      <c r="AU21" t="inlineStr">
        <is>
          <t>2/6</t>
        </is>
      </c>
      <c r="AV21" t="n">
        <v>33.33</v>
      </c>
      <c r="AW21" s="31" t="n">
        <v>3141540000</v>
      </c>
      <c r="AX21" s="31" t="n">
        <v>5257001800</v>
      </c>
      <c r="AY21" s="31" t="n">
        <v>2115461800</v>
      </c>
      <c r="AZ21" s="35" t="n">
        <v>167.34</v>
      </c>
      <c r="BA21" s="17">
        <f>HYPERLINK("https://github.com/lottpicker/daily1689/blob/main/summary-v54.txt", "Click view")</f>
        <v/>
      </c>
    </row>
    <row r="22">
      <c r="A22" s="31" t="n">
        <v>71</v>
      </c>
      <c r="B22" s="31" t="inlineStr">
        <is>
          <t>100-369</t>
        </is>
      </c>
      <c r="C22" s="31" t="inlineStr">
        <is>
          <t>270</t>
        </is>
      </c>
      <c r="D22" s="35" t="n">
        <v>135.24</v>
      </c>
      <c r="E22" s="35" t="n">
        <v>49811762000</v>
      </c>
      <c r="F22" s="35" t="n">
        <v>40754</v>
      </c>
      <c r="G22" s="35" t="n">
        <v>3383</v>
      </c>
      <c r="H22" s="35" t="inlineStr">
        <is>
          <t>95/270</t>
        </is>
      </c>
      <c r="I22" s="35" t="n">
        <v>35.19</v>
      </c>
      <c r="J22" s="35" t="inlineStr">
        <is>
          <t>173/270</t>
        </is>
      </c>
      <c r="K22" s="35" t="n">
        <v>64.06999999999999</v>
      </c>
      <c r="L22" s="35" t="inlineStr">
        <is>
          <t>104/270</t>
        </is>
      </c>
      <c r="M22" s="35" t="n">
        <v>38.52</v>
      </c>
      <c r="N22" s="35" t="inlineStr">
        <is>
          <t>63/270</t>
        </is>
      </c>
      <c r="O22" s="35" t="n">
        <v>23.33</v>
      </c>
      <c r="P22" s="35" t="inlineStr">
        <is>
          <t>53/270</t>
        </is>
      </c>
      <c r="Q22" s="35" t="n">
        <v>19.63</v>
      </c>
      <c r="R22" s="35" t="inlineStr">
        <is>
          <t>49/270</t>
        </is>
      </c>
      <c r="S22" s="35" t="n">
        <v>18.15</v>
      </c>
      <c r="T22" s="35" t="inlineStr">
        <is>
          <t>26/27</t>
        </is>
      </c>
      <c r="U22" s="35" t="n">
        <v>96.3</v>
      </c>
      <c r="V22" s="35" t="inlineStr">
        <is>
          <t>25/27</t>
        </is>
      </c>
      <c r="W22" s="35" t="n">
        <v>92.59</v>
      </c>
      <c r="X22" s="35" t="n">
        <v>34756</v>
      </c>
      <c r="Y22" s="35" t="n">
        <v>3152</v>
      </c>
      <c r="Z22" s="35" t="n">
        <v>37908</v>
      </c>
      <c r="AA22" s="35" t="n">
        <v>2370</v>
      </c>
      <c r="AB22" s="35" t="n">
        <v>226</v>
      </c>
      <c r="AC22" s="35" t="n">
        <v>2796</v>
      </c>
      <c r="AD22" s="35" t="n">
        <v>45</v>
      </c>
      <c r="AE22" s="35" t="n">
        <v>5</v>
      </c>
      <c r="AF22" s="35" t="n">
        <v>50</v>
      </c>
      <c r="AG22" s="35" t="n">
        <v>128.73</v>
      </c>
      <c r="AH22" s="35" t="n">
        <v>11.67</v>
      </c>
      <c r="AI22" s="35" t="n">
        <v>11.67</v>
      </c>
      <c r="AJ22" s="35" t="n">
        <v>10.36</v>
      </c>
      <c r="AK22" s="35" t="n">
        <v>0.84</v>
      </c>
      <c r="AL22" s="35" t="n">
        <v>0.84</v>
      </c>
      <c r="AM22" s="35" t="n">
        <v>0.17</v>
      </c>
      <c r="AN22" s="35" t="n">
        <v>0.02</v>
      </c>
      <c r="AO22" s="35" t="n">
        <v>0.19</v>
      </c>
      <c r="AP22" s="35" t="n">
        <v>128.26</v>
      </c>
      <c r="AQ22" s="31" t="n">
        <v>141369300000</v>
      </c>
      <c r="AR22" s="31" t="n">
        <v>191181062000</v>
      </c>
      <c r="AS22" t="inlineStr">
        <is>
          <t>5/6</t>
        </is>
      </c>
      <c r="AT22" t="n">
        <v>83.33</v>
      </c>
      <c r="AU22" t="inlineStr">
        <is>
          <t>3/6</t>
        </is>
      </c>
      <c r="AV22" t="n">
        <v>50</v>
      </c>
      <c r="AW22" s="31" t="n">
        <v>3141540000</v>
      </c>
      <c r="AX22" s="31" t="n">
        <v>4303351200</v>
      </c>
      <c r="AY22" s="31" t="n">
        <v>1161811200</v>
      </c>
      <c r="AZ22" s="35" t="n">
        <v>136.98</v>
      </c>
      <c r="BA22">
        <f>HYPERLINK("https://github.com/lottpicker/daily1689/blob/main/summary-v71.txt", "Click view")</f>
        <v/>
      </c>
    </row>
    <row r="23">
      <c r="A23" s="31" t="n">
        <v>72</v>
      </c>
      <c r="B23" s="31" t="inlineStr">
        <is>
          <t>100-369</t>
        </is>
      </c>
      <c r="C23" s="31" t="inlineStr">
        <is>
          <t>270</t>
        </is>
      </c>
      <c r="D23" s="35" t="n">
        <v>119.94</v>
      </c>
      <c r="E23" s="35" t="n">
        <v>28183729700</v>
      </c>
      <c r="F23" s="35" t="n">
        <v>40642</v>
      </c>
      <c r="G23" s="35" t="n">
        <v>3318</v>
      </c>
      <c r="H23" s="35" t="inlineStr">
        <is>
          <t>90/270</t>
        </is>
      </c>
      <c r="I23" s="35" t="n">
        <v>33.33</v>
      </c>
      <c r="J23" s="35" t="inlineStr">
        <is>
          <t>170/270</t>
        </is>
      </c>
      <c r="K23" s="35" t="n">
        <v>62.96</v>
      </c>
      <c r="L23" s="35" t="inlineStr">
        <is>
          <t>84/270</t>
        </is>
      </c>
      <c r="M23" s="35" t="n">
        <v>31.11</v>
      </c>
      <c r="N23" s="35" t="inlineStr">
        <is>
          <t>49/270</t>
        </is>
      </c>
      <c r="O23" s="35" t="n">
        <v>18.15</v>
      </c>
      <c r="P23" s="35" t="inlineStr">
        <is>
          <t>35/270</t>
        </is>
      </c>
      <c r="Q23" s="35" t="n">
        <v>12.96</v>
      </c>
      <c r="R23" s="35" t="inlineStr">
        <is>
          <t>33/270</t>
        </is>
      </c>
      <c r="S23" s="35" t="n">
        <v>12.22</v>
      </c>
      <c r="T23" s="35" t="inlineStr">
        <is>
          <t>24/27</t>
        </is>
      </c>
      <c r="U23" s="35" t="n">
        <v>88.89</v>
      </c>
      <c r="V23" s="35" t="inlineStr">
        <is>
          <t>21/27</t>
        </is>
      </c>
      <c r="W23" s="35" t="n">
        <v>77.78</v>
      </c>
      <c r="X23" s="35" t="n">
        <v>34734</v>
      </c>
      <c r="Y23" s="35" t="n">
        <v>3086</v>
      </c>
      <c r="Z23" s="35" t="n">
        <v>37820</v>
      </c>
      <c r="AA23" s="35" t="n">
        <v>2428</v>
      </c>
      <c r="AB23" s="35" t="n">
        <v>229</v>
      </c>
      <c r="AC23" s="35" t="n">
        <v>2789</v>
      </c>
      <c r="AD23" s="35" t="n">
        <v>30</v>
      </c>
      <c r="AE23" s="35" t="n">
        <v>3</v>
      </c>
      <c r="AF23" s="35" t="n">
        <v>33</v>
      </c>
      <c r="AG23" s="35" t="n">
        <v>128.64</v>
      </c>
      <c r="AH23" s="35" t="n">
        <v>11.43</v>
      </c>
      <c r="AI23" s="35" t="n">
        <v>11.43</v>
      </c>
      <c r="AJ23" s="35" t="n">
        <v>10.33</v>
      </c>
      <c r="AK23" s="35" t="n">
        <v>0.85</v>
      </c>
      <c r="AL23" s="35" t="n">
        <v>0.85</v>
      </c>
      <c r="AM23" s="35" t="n">
        <v>0.11</v>
      </c>
      <c r="AN23" s="35" t="n">
        <v>0.01</v>
      </c>
      <c r="AO23" s="35" t="n">
        <v>0.12</v>
      </c>
      <c r="AP23" s="35" t="n">
        <v>128.47</v>
      </c>
      <c r="AQ23" s="31" t="n">
        <v>141369300000</v>
      </c>
      <c r="AR23" s="31" t="n">
        <v>169553029700</v>
      </c>
      <c r="AS23" t="inlineStr">
        <is>
          <t>5/6</t>
        </is>
      </c>
      <c r="AT23" t="n">
        <v>83.33</v>
      </c>
      <c r="AU23" t="inlineStr">
        <is>
          <t>2/6</t>
        </is>
      </c>
      <c r="AV23" t="n">
        <v>33.33</v>
      </c>
      <c r="AW23" s="31" t="n">
        <v>3141540000</v>
      </c>
      <c r="AX23" s="31" t="n">
        <v>3041871800</v>
      </c>
      <c r="AY23" s="31" t="n">
        <v>-99668200</v>
      </c>
      <c r="AZ23" s="35" t="n">
        <v>96.83</v>
      </c>
      <c r="BA23">
        <f>HYPERLINK("https://github.com/lottpicker/daily1689/blob/main/summary-v72.txt", "Click view")</f>
        <v/>
      </c>
    </row>
    <row r="24">
      <c r="A24" s="31" t="n">
        <v>40</v>
      </c>
      <c r="B24" s="31" t="inlineStr">
        <is>
          <t>100-369</t>
        </is>
      </c>
      <c r="C24" s="31" t="inlineStr">
        <is>
          <t>270</t>
        </is>
      </c>
      <c r="D24" s="35" t="n">
        <v>135.69</v>
      </c>
      <c r="E24" s="35" t="n">
        <v>50447959500</v>
      </c>
      <c r="F24" s="35" t="n">
        <v>40738</v>
      </c>
      <c r="G24" s="35" t="n">
        <v>3222</v>
      </c>
      <c r="H24" s="35" t="inlineStr">
        <is>
          <t>81/270</t>
        </is>
      </c>
      <c r="I24" s="35" t="n">
        <v>30</v>
      </c>
      <c r="J24" s="35" t="inlineStr">
        <is>
          <t>182/270</t>
        </is>
      </c>
      <c r="K24" s="35" t="n">
        <v>67.41</v>
      </c>
      <c r="L24" s="35" t="inlineStr">
        <is>
          <t>92/270</t>
        </is>
      </c>
      <c r="M24" s="35" t="n">
        <v>34.07</v>
      </c>
      <c r="N24" s="35" t="inlineStr">
        <is>
          <t>60/270</t>
        </is>
      </c>
      <c r="O24" s="35" t="n">
        <v>22.22</v>
      </c>
      <c r="P24" s="35" t="inlineStr">
        <is>
          <t>54/270</t>
        </is>
      </c>
      <c r="Q24" s="35" t="n">
        <v>20</v>
      </c>
      <c r="R24" s="35" t="inlineStr">
        <is>
          <t>53/270</t>
        </is>
      </c>
      <c r="S24" s="35" t="n">
        <v>19.63</v>
      </c>
      <c r="T24" s="35" t="inlineStr">
        <is>
          <t>24/27</t>
        </is>
      </c>
      <c r="U24" s="35" t="n">
        <v>88.89</v>
      </c>
      <c r="V24" s="35" t="inlineStr">
        <is>
          <t>23/27</t>
        </is>
      </c>
      <c r="W24" s="35" t="n">
        <v>85.19</v>
      </c>
      <c r="X24" s="35" t="n">
        <v>34882</v>
      </c>
      <c r="Y24" s="35" t="n">
        <v>3002</v>
      </c>
      <c r="Z24" s="35" t="n">
        <v>37884</v>
      </c>
      <c r="AA24" s="35" t="n">
        <v>2375</v>
      </c>
      <c r="AB24" s="35" t="n">
        <v>219</v>
      </c>
      <c r="AC24" s="35" t="n">
        <v>2802</v>
      </c>
      <c r="AD24" s="35" t="n">
        <v>51</v>
      </c>
      <c r="AE24" s="35" t="n">
        <v>1</v>
      </c>
      <c r="AF24" s="35" t="n">
        <v>52</v>
      </c>
      <c r="AG24" s="35" t="n">
        <v>129.19</v>
      </c>
      <c r="AH24" s="35" t="n">
        <v>11.12</v>
      </c>
      <c r="AI24" s="35" t="n">
        <v>11.12</v>
      </c>
      <c r="AJ24" s="35" t="n">
        <v>10.38</v>
      </c>
      <c r="AK24" s="35" t="n">
        <v>0.8100000000000001</v>
      </c>
      <c r="AL24" s="35" t="n">
        <v>0.8100000000000001</v>
      </c>
      <c r="AM24" s="35" t="n">
        <v>0.19</v>
      </c>
      <c r="AN24" s="35" t="n">
        <v>0</v>
      </c>
      <c r="AO24" s="35" t="n">
        <v>0.19</v>
      </c>
      <c r="AP24" s="35" t="n">
        <v>128.84</v>
      </c>
      <c r="AQ24" s="31" t="n">
        <v>141369300000</v>
      </c>
      <c r="AR24" s="31" t="n">
        <v>191817259500</v>
      </c>
      <c r="AS24" t="inlineStr">
        <is>
          <t>4/6</t>
        </is>
      </c>
      <c r="AT24" t="n">
        <v>66.67</v>
      </c>
      <c r="AU24" t="inlineStr">
        <is>
          <t>4/6</t>
        </is>
      </c>
      <c r="AV24" t="n">
        <v>66.67</v>
      </c>
      <c r="AW24" s="31" t="n">
        <v>3141540000</v>
      </c>
      <c r="AX24" s="31" t="n">
        <v>5723789100</v>
      </c>
      <c r="AY24" s="31" t="n">
        <v>2582249100</v>
      </c>
      <c r="AZ24" s="35" t="n">
        <v>182.2</v>
      </c>
      <c r="BA24" s="17">
        <f>HYPERLINK("https://github.com/lottpicker/daily1689/blob/main/summary-v40.txt", "Click view")</f>
        <v/>
      </c>
    </row>
    <row r="25">
      <c r="A25" s="31" t="n">
        <v>49</v>
      </c>
      <c r="B25" s="31" t="inlineStr">
        <is>
          <t>100-369</t>
        </is>
      </c>
      <c r="C25" s="31" t="inlineStr">
        <is>
          <t>270</t>
        </is>
      </c>
      <c r="D25" s="35" t="n">
        <v>137.42</v>
      </c>
      <c r="E25" s="35" t="n">
        <v>52902770000</v>
      </c>
      <c r="F25" s="35" t="n">
        <v>40801</v>
      </c>
      <c r="G25" s="35" t="n">
        <v>3370</v>
      </c>
      <c r="H25" s="35" t="inlineStr">
        <is>
          <t>92/270</t>
        </is>
      </c>
      <c r="I25" s="35" t="n">
        <v>34.07</v>
      </c>
      <c r="J25" s="35" t="inlineStr">
        <is>
          <t>172/270</t>
        </is>
      </c>
      <c r="K25" s="35" t="n">
        <v>63.7</v>
      </c>
      <c r="L25" s="35" t="inlineStr">
        <is>
          <t>98/270</t>
        </is>
      </c>
      <c r="M25" s="35" t="n">
        <v>36.3</v>
      </c>
      <c r="N25" s="35" t="inlineStr">
        <is>
          <t>66/270</t>
        </is>
      </c>
      <c r="O25" s="35" t="n">
        <v>24.44</v>
      </c>
      <c r="P25" s="35" t="inlineStr">
        <is>
          <t>57/270</t>
        </is>
      </c>
      <c r="Q25" s="35" t="n">
        <v>21.11</v>
      </c>
      <c r="R25" s="35" t="inlineStr">
        <is>
          <t>56/270</t>
        </is>
      </c>
      <c r="S25" s="35" t="n">
        <v>20.74</v>
      </c>
      <c r="T25" s="35" t="inlineStr">
        <is>
          <t>24/27</t>
        </is>
      </c>
      <c r="U25" s="35" t="n">
        <v>88.89</v>
      </c>
      <c r="V25" s="35" t="inlineStr">
        <is>
          <t>23/27</t>
        </is>
      </c>
      <c r="W25" s="35" t="n">
        <v>85.19</v>
      </c>
      <c r="X25" s="35" t="n">
        <v>34800</v>
      </c>
      <c r="Y25" s="35" t="n">
        <v>3160</v>
      </c>
      <c r="Z25" s="35" t="n">
        <v>37960</v>
      </c>
      <c r="AA25" s="35" t="n">
        <v>2360</v>
      </c>
      <c r="AB25" s="35" t="n">
        <v>206</v>
      </c>
      <c r="AC25" s="35" t="n">
        <v>2786</v>
      </c>
      <c r="AD25" s="35" t="n">
        <v>51</v>
      </c>
      <c r="AE25" s="35" t="n">
        <v>4</v>
      </c>
      <c r="AF25" s="35" t="n">
        <v>55</v>
      </c>
      <c r="AG25" s="35" t="n">
        <v>128.89</v>
      </c>
      <c r="AH25" s="35" t="n">
        <v>11.7</v>
      </c>
      <c r="AI25" s="35" t="n">
        <v>11.7</v>
      </c>
      <c r="AJ25" s="35" t="n">
        <v>10.32</v>
      </c>
      <c r="AK25" s="35" t="n">
        <v>0.76</v>
      </c>
      <c r="AL25" s="35" t="n">
        <v>0.76</v>
      </c>
      <c r="AM25" s="35" t="n">
        <v>0.19</v>
      </c>
      <c r="AN25" s="35" t="n">
        <v>0.01</v>
      </c>
      <c r="AO25" s="35" t="n">
        <v>0.2</v>
      </c>
      <c r="AP25" s="35" t="n">
        <v>128.28</v>
      </c>
      <c r="AQ25" s="31" t="n">
        <v>141369300000</v>
      </c>
      <c r="AR25" s="31" t="n">
        <v>194272070000</v>
      </c>
      <c r="AS25" t="inlineStr">
        <is>
          <t>4/6</t>
        </is>
      </c>
      <c r="AT25" t="n">
        <v>66.67</v>
      </c>
      <c r="AU25" t="inlineStr">
        <is>
          <t>3/6</t>
        </is>
      </c>
      <c r="AV25" t="n">
        <v>50</v>
      </c>
      <c r="AW25" s="31" t="n">
        <v>3141540000</v>
      </c>
      <c r="AX25" s="31" t="n">
        <v>5351555100</v>
      </c>
      <c r="AY25" s="31" t="n">
        <v>2210015100</v>
      </c>
      <c r="AZ25" s="35" t="n">
        <v>170.35</v>
      </c>
      <c r="BA25" s="17">
        <f>HYPERLINK("https://github.com/lottpicker/daily1689/blob/main/summary-v49.txt", "Click view")</f>
        <v/>
      </c>
    </row>
    <row r="26">
      <c r="A26" s="31" t="n">
        <v>63</v>
      </c>
      <c r="B26" s="31" t="inlineStr">
        <is>
          <t>100-369</t>
        </is>
      </c>
      <c r="C26" s="31" t="inlineStr">
        <is>
          <t>270</t>
        </is>
      </c>
      <c r="D26" s="35" t="n">
        <v>135.85</v>
      </c>
      <c r="E26" s="35" t="n">
        <v>50677656300</v>
      </c>
      <c r="F26" s="35" t="n">
        <v>40738</v>
      </c>
      <c r="G26" s="35" t="n">
        <v>3323</v>
      </c>
      <c r="H26" s="35" t="inlineStr">
        <is>
          <t>93/270</t>
        </is>
      </c>
      <c r="I26" s="35" t="n">
        <v>34.44</v>
      </c>
      <c r="J26" s="35" t="inlineStr">
        <is>
          <t>169/270</t>
        </is>
      </c>
      <c r="K26" s="35" t="n">
        <v>62.59</v>
      </c>
      <c r="L26" s="35" t="inlineStr">
        <is>
          <t>90/270</t>
        </is>
      </c>
      <c r="M26" s="35" t="n">
        <v>33.33</v>
      </c>
      <c r="N26" s="35" t="inlineStr">
        <is>
          <t>64/270</t>
        </is>
      </c>
      <c r="O26" s="35" t="n">
        <v>23.7</v>
      </c>
      <c r="P26" s="35" t="inlineStr">
        <is>
          <t>54/270</t>
        </is>
      </c>
      <c r="Q26" s="35" t="n">
        <v>20</v>
      </c>
      <c r="R26" s="35" t="inlineStr">
        <is>
          <t>52/270</t>
        </is>
      </c>
      <c r="S26" s="35" t="n">
        <v>19.26</v>
      </c>
      <c r="T26" s="35" t="inlineStr">
        <is>
          <t>26/27</t>
        </is>
      </c>
      <c r="U26" s="35" t="n">
        <v>96.3</v>
      </c>
      <c r="V26" s="35" t="inlineStr">
        <is>
          <t>24/27</t>
        </is>
      </c>
      <c r="W26" s="35" t="n">
        <v>88.89</v>
      </c>
      <c r="X26" s="35" t="n">
        <v>34784</v>
      </c>
      <c r="Y26" s="35" t="n">
        <v>3100</v>
      </c>
      <c r="Z26" s="35" t="n">
        <v>37884</v>
      </c>
      <c r="AA26" s="35" t="n">
        <v>2377</v>
      </c>
      <c r="AB26" s="35" t="n">
        <v>217</v>
      </c>
      <c r="AC26" s="35" t="n">
        <v>2802</v>
      </c>
      <c r="AD26" s="35" t="n">
        <v>46</v>
      </c>
      <c r="AE26" s="35" t="n">
        <v>6</v>
      </c>
      <c r="AF26" s="35" t="n">
        <v>52</v>
      </c>
      <c r="AG26" s="35" t="n">
        <v>128.83</v>
      </c>
      <c r="AH26" s="35" t="n">
        <v>11.48</v>
      </c>
      <c r="AI26" s="35" t="n">
        <v>11.48</v>
      </c>
      <c r="AJ26" s="35" t="n">
        <v>10.38</v>
      </c>
      <c r="AK26" s="35" t="n">
        <v>0.8</v>
      </c>
      <c r="AL26" s="35" t="n">
        <v>0.8</v>
      </c>
      <c r="AM26" s="35" t="n">
        <v>0.17</v>
      </c>
      <c r="AN26" s="35" t="n">
        <v>0.02</v>
      </c>
      <c r="AO26" s="35" t="n">
        <v>0.19</v>
      </c>
      <c r="AP26" s="35" t="n">
        <v>128.44</v>
      </c>
      <c r="AQ26" s="31" t="n">
        <v>141369300000</v>
      </c>
      <c r="AR26" s="31" t="n">
        <v>192046956300</v>
      </c>
      <c r="AS26" t="inlineStr">
        <is>
          <t>4/6</t>
        </is>
      </c>
      <c r="AT26" t="n">
        <v>66.67</v>
      </c>
      <c r="AU26" t="inlineStr">
        <is>
          <t>2/6</t>
        </is>
      </c>
      <c r="AV26" t="n">
        <v>33.33</v>
      </c>
      <c r="AW26" s="31" t="n">
        <v>3141540000</v>
      </c>
      <c r="AX26" s="31" t="n">
        <v>5570643000</v>
      </c>
      <c r="AY26" s="31" t="n">
        <v>2429103000</v>
      </c>
      <c r="AZ26" s="35" t="n">
        <v>177.32</v>
      </c>
      <c r="BA26">
        <f>HYPERLINK("https://github.com/lottpicker/daily1689/blob/main/summary-v63.txt", "Click view")</f>
        <v/>
      </c>
    </row>
    <row r="27">
      <c r="A27" s="31" t="n">
        <v>48</v>
      </c>
      <c r="B27" s="31" t="inlineStr">
        <is>
          <t>100-369</t>
        </is>
      </c>
      <c r="C27" s="31" t="inlineStr">
        <is>
          <t>270</t>
        </is>
      </c>
      <c r="D27" s="35" t="n">
        <v>138.61</v>
      </c>
      <c r="E27" s="35" t="n">
        <v>54578818400</v>
      </c>
      <c r="F27" s="35" t="n">
        <v>40780</v>
      </c>
      <c r="G27" s="35" t="n">
        <v>3454</v>
      </c>
      <c r="H27" s="35" t="inlineStr">
        <is>
          <t>70/270</t>
        </is>
      </c>
      <c r="I27" s="35" t="n">
        <v>25.93</v>
      </c>
      <c r="J27" s="35" t="inlineStr">
        <is>
          <t>196/270</t>
        </is>
      </c>
      <c r="K27" s="35" t="n">
        <v>72.59</v>
      </c>
      <c r="L27" s="35" t="inlineStr">
        <is>
          <t>99/270</t>
        </is>
      </c>
      <c r="M27" s="35" t="n">
        <v>36.67</v>
      </c>
      <c r="N27" s="35" t="inlineStr">
        <is>
          <t>62/270</t>
        </is>
      </c>
      <c r="O27" s="35" t="n">
        <v>22.96</v>
      </c>
      <c r="P27" s="35" t="inlineStr">
        <is>
          <t>55/270</t>
        </is>
      </c>
      <c r="Q27" s="35" t="n">
        <v>20.37</v>
      </c>
      <c r="R27" s="35" t="inlineStr">
        <is>
          <t>53/270</t>
        </is>
      </c>
      <c r="S27" s="35" t="n">
        <v>19.63</v>
      </c>
      <c r="T27" s="35" t="inlineStr">
        <is>
          <t>24/27</t>
        </is>
      </c>
      <c r="U27" s="35" t="n">
        <v>88.89</v>
      </c>
      <c r="V27" s="35" t="inlineStr">
        <is>
          <t>22/27</t>
        </is>
      </c>
      <c r="W27" s="35" t="n">
        <v>81.48</v>
      </c>
      <c r="X27" s="35" t="n">
        <v>34717</v>
      </c>
      <c r="Y27" s="35" t="n">
        <v>3222</v>
      </c>
      <c r="Z27" s="35" t="n">
        <v>37939</v>
      </c>
      <c r="AA27" s="35" t="n">
        <v>2346</v>
      </c>
      <c r="AB27" s="35" t="n">
        <v>230</v>
      </c>
      <c r="AC27" s="35" t="n">
        <v>2788</v>
      </c>
      <c r="AD27" s="35" t="n">
        <v>51</v>
      </c>
      <c r="AE27" s="35" t="n">
        <v>2</v>
      </c>
      <c r="AF27" s="35" t="n">
        <v>53</v>
      </c>
      <c r="AG27" s="35" t="n">
        <v>128.58</v>
      </c>
      <c r="AH27" s="35" t="n">
        <v>11.93</v>
      </c>
      <c r="AI27" s="35" t="n">
        <v>11.93</v>
      </c>
      <c r="AJ27" s="35" t="n">
        <v>10.33</v>
      </c>
      <c r="AK27" s="35" t="n">
        <v>0.85</v>
      </c>
      <c r="AL27" s="35" t="n">
        <v>0.85</v>
      </c>
      <c r="AM27" s="35" t="n">
        <v>0.19</v>
      </c>
      <c r="AN27" s="35" t="n">
        <v>0.01</v>
      </c>
      <c r="AO27" s="35" t="n">
        <v>0.2</v>
      </c>
      <c r="AP27" s="35" t="n">
        <v>128</v>
      </c>
      <c r="AQ27" s="31" t="n">
        <v>141369300000</v>
      </c>
      <c r="AR27" s="31" t="n">
        <v>195948118400</v>
      </c>
      <c r="AS27" t="inlineStr">
        <is>
          <t>4/6</t>
        </is>
      </c>
      <c r="AT27" t="n">
        <v>66.67</v>
      </c>
      <c r="AU27" t="inlineStr">
        <is>
          <t>0/6</t>
        </is>
      </c>
      <c r="AV27" t="n">
        <v>0</v>
      </c>
      <c r="AW27" s="31" t="n">
        <v>3141540000</v>
      </c>
      <c r="AX27" s="31" t="n">
        <v>2631875800</v>
      </c>
      <c r="AY27" s="31" t="n">
        <v>-509664200</v>
      </c>
      <c r="AZ27" s="35" t="n">
        <v>83.78</v>
      </c>
      <c r="BA27" s="17">
        <f>HYPERLINK("https://github.com/lottpicker/daily1689/blob/main/summary-v48.txt", "Click view")</f>
        <v/>
      </c>
    </row>
    <row r="28">
      <c r="A28" s="31" t="n">
        <v>10</v>
      </c>
      <c r="B28" s="31" t="inlineStr">
        <is>
          <t>100-369</t>
        </is>
      </c>
      <c r="C28" s="31" t="inlineStr">
        <is>
          <t>270</t>
        </is>
      </c>
      <c r="D28" s="35" t="n">
        <v>137.07</v>
      </c>
      <c r="E28" s="35" t="n">
        <v>52408961400</v>
      </c>
      <c r="F28" s="35" t="n">
        <v>40780</v>
      </c>
      <c r="G28" s="35" t="n">
        <v>3352</v>
      </c>
      <c r="H28" s="35" t="inlineStr">
        <is>
          <t>85/270</t>
        </is>
      </c>
      <c r="I28" s="35" t="n">
        <v>31.48</v>
      </c>
      <c r="J28" s="35" t="inlineStr">
        <is>
          <t>178/270</t>
        </is>
      </c>
      <c r="K28" s="35" t="n">
        <v>65.93000000000001</v>
      </c>
      <c r="L28" s="35" t="inlineStr">
        <is>
          <t>97/270</t>
        </is>
      </c>
      <c r="M28" s="35" t="n">
        <v>35.93</v>
      </c>
      <c r="N28" s="35" t="inlineStr">
        <is>
          <t>66/270</t>
        </is>
      </c>
      <c r="O28" s="35" t="n">
        <v>24.44</v>
      </c>
      <c r="P28" s="35" t="inlineStr">
        <is>
          <t>58/270</t>
        </is>
      </c>
      <c r="Q28" s="35" t="n">
        <v>21.48</v>
      </c>
      <c r="R28" s="35" t="inlineStr">
        <is>
          <t>53/270</t>
        </is>
      </c>
      <c r="S28" s="35" t="n">
        <v>19.63</v>
      </c>
      <c r="T28" s="35" t="inlineStr">
        <is>
          <t>25/27</t>
        </is>
      </c>
      <c r="U28" s="35" t="n">
        <v>92.59</v>
      </c>
      <c r="V28" s="35" t="inlineStr">
        <is>
          <t>22/27</t>
        </is>
      </c>
      <c r="W28" s="35" t="n">
        <v>81.48</v>
      </c>
      <c r="X28" s="35" t="n">
        <v>34813</v>
      </c>
      <c r="Y28" s="35" t="n">
        <v>3126</v>
      </c>
      <c r="Z28" s="35" t="n">
        <v>37939</v>
      </c>
      <c r="AA28" s="35" t="n">
        <v>2356</v>
      </c>
      <c r="AB28" s="35" t="n">
        <v>220</v>
      </c>
      <c r="AC28" s="35" t="n">
        <v>2788</v>
      </c>
      <c r="AD28" s="35" t="n">
        <v>47</v>
      </c>
      <c r="AE28" s="35" t="n">
        <v>6</v>
      </c>
      <c r="AF28" s="35" t="n">
        <v>53</v>
      </c>
      <c r="AG28" s="35" t="n">
        <v>128.94</v>
      </c>
      <c r="AH28" s="35" t="n">
        <v>11.58</v>
      </c>
      <c r="AI28" s="35" t="n">
        <v>11.58</v>
      </c>
      <c r="AJ28" s="35" t="n">
        <v>10.33</v>
      </c>
      <c r="AK28" s="35" t="n">
        <v>0.8100000000000001</v>
      </c>
      <c r="AL28" s="35" t="n">
        <v>0.8100000000000001</v>
      </c>
      <c r="AM28" s="35" t="n">
        <v>0.17</v>
      </c>
      <c r="AN28" s="35" t="n">
        <v>0.02</v>
      </c>
      <c r="AO28" s="35" t="n">
        <v>0.2</v>
      </c>
      <c r="AP28" s="35" t="n">
        <v>128.33</v>
      </c>
      <c r="AQ28" s="31" t="n">
        <v>141369300000</v>
      </c>
      <c r="AR28" s="31" t="n">
        <v>193778261400</v>
      </c>
      <c r="AS28" t="inlineStr">
        <is>
          <t>4/6</t>
        </is>
      </c>
      <c r="AT28" t="n">
        <v>66.67</v>
      </c>
      <c r="AW28" s="31" t="n">
        <v>3141540000</v>
      </c>
      <c r="AX28" s="31" t="n">
        <v>3311969200</v>
      </c>
      <c r="AY28" s="31" t="n">
        <v>170429200</v>
      </c>
      <c r="AZ28" s="35" t="n">
        <v>105.43</v>
      </c>
      <c r="BA28" s="17">
        <f>HYPERLINK("https://github.com/lottpicker/daily1689/blob/main/summary-v10.txt", "Click view")</f>
        <v/>
      </c>
    </row>
    <row r="29">
      <c r="A29" s="31" t="n">
        <v>19</v>
      </c>
      <c r="B29" s="31" t="inlineStr">
        <is>
          <t>100-369</t>
        </is>
      </c>
      <c r="C29" s="31" t="inlineStr">
        <is>
          <t>270</t>
        </is>
      </c>
      <c r="D29" s="35" t="n">
        <v>122.59</v>
      </c>
      <c r="E29" s="35" t="n">
        <v>31933342100</v>
      </c>
      <c r="F29" s="35" t="n">
        <v>40700</v>
      </c>
      <c r="G29" s="35" t="n">
        <v>3338</v>
      </c>
      <c r="H29" s="35" t="inlineStr">
        <is>
          <t>101/270</t>
        </is>
      </c>
      <c r="I29" s="35" t="n">
        <v>37.41</v>
      </c>
      <c r="J29" s="35" t="inlineStr">
        <is>
          <t>164/270</t>
        </is>
      </c>
      <c r="K29" s="35" t="n">
        <v>60.74</v>
      </c>
      <c r="L29" s="35" t="inlineStr">
        <is>
          <t>85/270</t>
        </is>
      </c>
      <c r="M29" s="35" t="n">
        <v>31.48</v>
      </c>
      <c r="N29" s="35" t="inlineStr">
        <is>
          <t>48/270</t>
        </is>
      </c>
      <c r="O29" s="35" t="n">
        <v>17.78</v>
      </c>
      <c r="P29" s="35" t="inlineStr">
        <is>
          <t>41/270</t>
        </is>
      </c>
      <c r="Q29" s="35" t="n">
        <v>15.19</v>
      </c>
      <c r="R29" s="35" t="inlineStr">
        <is>
          <t>39/270</t>
        </is>
      </c>
      <c r="S29" s="35" t="n">
        <v>14.44</v>
      </c>
      <c r="T29" s="35" t="inlineStr">
        <is>
          <t>24/27</t>
        </is>
      </c>
      <c r="U29" s="35" t="n">
        <v>88.89</v>
      </c>
      <c r="V29" s="35" t="inlineStr">
        <is>
          <t>22/27</t>
        </is>
      </c>
      <c r="W29" s="35" t="n">
        <v>81.48</v>
      </c>
      <c r="X29" s="35" t="n">
        <v>34741</v>
      </c>
      <c r="Y29" s="35" t="n">
        <v>3132</v>
      </c>
      <c r="Z29" s="35" t="n">
        <v>37873</v>
      </c>
      <c r="AA29" s="35" t="n">
        <v>2429</v>
      </c>
      <c r="AB29" s="35" t="n">
        <v>203</v>
      </c>
      <c r="AC29" s="35" t="n">
        <v>2788</v>
      </c>
      <c r="AD29" s="35" t="n">
        <v>36</v>
      </c>
      <c r="AE29" s="35" t="n">
        <v>3</v>
      </c>
      <c r="AF29" s="35" t="n">
        <v>39</v>
      </c>
      <c r="AG29" s="35" t="n">
        <v>128.67</v>
      </c>
      <c r="AH29" s="35" t="n">
        <v>11.6</v>
      </c>
      <c r="AI29" s="35" t="n">
        <v>11.6</v>
      </c>
      <c r="AJ29" s="35" t="n">
        <v>10.33</v>
      </c>
      <c r="AK29" s="35" t="n">
        <v>0.75</v>
      </c>
      <c r="AL29" s="35" t="n">
        <v>0.75</v>
      </c>
      <c r="AM29" s="35" t="n">
        <v>0.13</v>
      </c>
      <c r="AN29" s="35" t="n">
        <v>0.01</v>
      </c>
      <c r="AO29" s="35" t="n">
        <v>0.14</v>
      </c>
      <c r="AP29" s="35" t="n">
        <v>128.39</v>
      </c>
      <c r="AQ29" s="31" t="n">
        <v>141369300000</v>
      </c>
      <c r="AR29" s="31" t="n">
        <v>173302642100</v>
      </c>
      <c r="AS29" t="inlineStr">
        <is>
          <t>4/6</t>
        </is>
      </c>
      <c r="AT29" t="n">
        <v>66.67</v>
      </c>
      <c r="AW29" s="31" t="n">
        <v>3141540000</v>
      </c>
      <c r="AX29" s="31" t="n">
        <v>4516300600</v>
      </c>
      <c r="AY29" s="31" t="n">
        <v>1374760600</v>
      </c>
      <c r="AZ29" s="35" t="n">
        <v>143.76</v>
      </c>
      <c r="BA29" s="17">
        <f>HYPERLINK("https://github.com/lottpicker/daily1689/blob/main/summary-v19.txt", "Click view")</f>
        <v/>
      </c>
    </row>
    <row r="30">
      <c r="A30" s="31" t="n">
        <v>23</v>
      </c>
      <c r="B30" s="31" t="inlineStr">
        <is>
          <t>100-369</t>
        </is>
      </c>
      <c r="C30" s="31" t="inlineStr">
        <is>
          <t>270</t>
        </is>
      </c>
      <c r="D30" s="35" t="n">
        <v>123.59</v>
      </c>
      <c r="E30" s="35" t="n">
        <v>33350136600</v>
      </c>
      <c r="F30" s="35" t="n">
        <v>40670</v>
      </c>
      <c r="G30" s="35" t="n">
        <v>3413</v>
      </c>
      <c r="H30" s="35" t="inlineStr">
        <is>
          <t>91/270</t>
        </is>
      </c>
      <c r="I30" s="35" t="n">
        <v>33.7</v>
      </c>
      <c r="J30" s="35" t="inlineStr">
        <is>
          <t>177/270</t>
        </is>
      </c>
      <c r="K30" s="35" t="n">
        <v>65.56</v>
      </c>
      <c r="L30" s="35" t="inlineStr">
        <is>
          <t>86/270</t>
        </is>
      </c>
      <c r="M30" s="35" t="n">
        <v>31.85</v>
      </c>
      <c r="N30" s="35" t="inlineStr">
        <is>
          <t>50/270</t>
        </is>
      </c>
      <c r="O30" s="35" t="n">
        <v>18.52</v>
      </c>
      <c r="P30" s="35" t="inlineStr">
        <is>
          <t>38/270</t>
        </is>
      </c>
      <c r="Q30" s="35" t="n">
        <v>14.07</v>
      </c>
      <c r="R30" s="35" t="inlineStr">
        <is>
          <t>37/270</t>
        </is>
      </c>
      <c r="S30" s="35" t="n">
        <v>13.7</v>
      </c>
      <c r="T30" s="35" t="inlineStr">
        <is>
          <t>25/27</t>
        </is>
      </c>
      <c r="U30" s="35" t="n">
        <v>92.59</v>
      </c>
      <c r="V30" s="35" t="inlineStr">
        <is>
          <t>19/27</t>
        </is>
      </c>
      <c r="W30" s="35" t="n">
        <v>70.37</v>
      </c>
      <c r="X30" s="35" t="n">
        <v>34661</v>
      </c>
      <c r="Y30" s="35" t="n">
        <v>3184</v>
      </c>
      <c r="Z30" s="35" t="n">
        <v>37845</v>
      </c>
      <c r="AA30" s="35" t="n">
        <v>2414</v>
      </c>
      <c r="AB30" s="35" t="n">
        <v>226</v>
      </c>
      <c r="AC30" s="35" t="n">
        <v>2788</v>
      </c>
      <c r="AD30" s="35" t="n">
        <v>34</v>
      </c>
      <c r="AE30" s="35" t="n">
        <v>3</v>
      </c>
      <c r="AF30" s="35" t="n">
        <v>37</v>
      </c>
      <c r="AG30" s="35" t="n">
        <v>128.37</v>
      </c>
      <c r="AH30" s="35" t="n">
        <v>11.79</v>
      </c>
      <c r="AI30" s="35" t="n">
        <v>11.79</v>
      </c>
      <c r="AJ30" s="35" t="n">
        <v>10.33</v>
      </c>
      <c r="AK30" s="35" t="n">
        <v>0.84</v>
      </c>
      <c r="AL30" s="35" t="n">
        <v>0.84</v>
      </c>
      <c r="AM30" s="35" t="n">
        <v>0.13</v>
      </c>
      <c r="AN30" s="35" t="n">
        <v>0.01</v>
      </c>
      <c r="AO30" s="35" t="n">
        <v>0.14</v>
      </c>
      <c r="AP30" s="35" t="n">
        <v>128.11</v>
      </c>
      <c r="AQ30" s="31" t="n">
        <v>141369300000</v>
      </c>
      <c r="AR30" s="31" t="n">
        <v>174719436600</v>
      </c>
      <c r="AS30" t="inlineStr">
        <is>
          <t>4/6</t>
        </is>
      </c>
      <c r="AT30" t="n">
        <v>66.67</v>
      </c>
      <c r="AW30" s="31" t="n">
        <v>3141540000</v>
      </c>
      <c r="AX30" s="31" t="n">
        <v>2733750200</v>
      </c>
      <c r="AY30" s="31" t="n">
        <v>-407789800</v>
      </c>
      <c r="AZ30" s="35" t="n">
        <v>87.02</v>
      </c>
      <c r="BA30" s="17">
        <f>HYPERLINK("https://github.com/lottpicker/daily1689/blob/main/summary-v23.txt", "Click view")</f>
        <v/>
      </c>
    </row>
    <row r="31">
      <c r="A31" s="31" t="n">
        <v>24</v>
      </c>
      <c r="B31" s="31" t="inlineStr">
        <is>
          <t>100-369</t>
        </is>
      </c>
      <c r="C31" s="31" t="inlineStr">
        <is>
          <t>270</t>
        </is>
      </c>
      <c r="D31" s="35" t="n">
        <v>124.12</v>
      </c>
      <c r="E31" s="35" t="n">
        <v>34094442400</v>
      </c>
      <c r="F31" s="35" t="n">
        <v>40671</v>
      </c>
      <c r="G31" s="35" t="n">
        <v>3419</v>
      </c>
      <c r="H31" s="35" t="inlineStr">
        <is>
          <t>86/270</t>
        </is>
      </c>
      <c r="I31" s="35" t="n">
        <v>31.85</v>
      </c>
      <c r="J31" s="35" t="inlineStr">
        <is>
          <t>177/270</t>
        </is>
      </c>
      <c r="K31" s="35" t="n">
        <v>65.56</v>
      </c>
      <c r="L31" s="35" t="inlineStr">
        <is>
          <t>84/270</t>
        </is>
      </c>
      <c r="M31" s="35" t="n">
        <v>31.11</v>
      </c>
      <c r="N31" s="35" t="inlineStr">
        <is>
          <t>45/270</t>
        </is>
      </c>
      <c r="O31" s="35" t="n">
        <v>16.67</v>
      </c>
      <c r="P31" s="35" t="inlineStr">
        <is>
          <t>41/270</t>
        </is>
      </c>
      <c r="Q31" s="35" t="n">
        <v>15.19</v>
      </c>
      <c r="R31" s="35" t="inlineStr">
        <is>
          <t>38/270</t>
        </is>
      </c>
      <c r="S31" s="35" t="n">
        <v>14.07</v>
      </c>
      <c r="T31" s="35" t="inlineStr">
        <is>
          <t>25/27</t>
        </is>
      </c>
      <c r="U31" s="35" t="n">
        <v>92.59</v>
      </c>
      <c r="V31" s="35" t="inlineStr">
        <is>
          <t>25/27</t>
        </is>
      </c>
      <c r="W31" s="35" t="n">
        <v>92.59</v>
      </c>
      <c r="X31" s="35" t="n">
        <v>34646</v>
      </c>
      <c r="Y31" s="35" t="n">
        <v>3197</v>
      </c>
      <c r="Z31" s="35" t="n">
        <v>37843</v>
      </c>
      <c r="AA31" s="35" t="n">
        <v>2416</v>
      </c>
      <c r="AB31" s="35" t="n">
        <v>222</v>
      </c>
      <c r="AC31" s="35" t="n">
        <v>2790</v>
      </c>
      <c r="AD31" s="35" t="n">
        <v>38</v>
      </c>
      <c r="AE31" s="35" t="n">
        <v>0</v>
      </c>
      <c r="AF31" s="35" t="n">
        <v>38</v>
      </c>
      <c r="AG31" s="35" t="n">
        <v>128.32</v>
      </c>
      <c r="AH31" s="35" t="n">
        <v>11.84</v>
      </c>
      <c r="AI31" s="35" t="n">
        <v>11.84</v>
      </c>
      <c r="AJ31" s="35" t="n">
        <v>10.33</v>
      </c>
      <c r="AK31" s="35" t="n">
        <v>0.82</v>
      </c>
      <c r="AL31" s="35" t="n">
        <v>0.82</v>
      </c>
      <c r="AM31" s="35" t="n">
        <v>0.14</v>
      </c>
      <c r="AN31" s="35" t="n">
        <v>0</v>
      </c>
      <c r="AO31" s="35" t="n">
        <v>0.14</v>
      </c>
      <c r="AP31" s="35" t="n">
        <v>128.09</v>
      </c>
      <c r="AQ31" s="31" t="n">
        <v>141369300000</v>
      </c>
      <c r="AR31" s="31" t="n">
        <v>175463742400</v>
      </c>
      <c r="AS31" t="inlineStr">
        <is>
          <t>4/6</t>
        </is>
      </c>
      <c r="AT31" t="n">
        <v>66.67</v>
      </c>
      <c r="AW31" s="31" t="n">
        <v>3141540000</v>
      </c>
      <c r="AX31" s="31" t="n">
        <v>2881717300</v>
      </c>
      <c r="AY31" s="31" t="n">
        <v>-259822700</v>
      </c>
      <c r="AZ31" s="35" t="n">
        <v>91.73</v>
      </c>
      <c r="BA31" s="17">
        <f>HYPERLINK("https://github.com/lottpicker/daily1689/blob/main/summary-v24.txt", "Click view")</f>
        <v/>
      </c>
    </row>
    <row r="32">
      <c r="A32" s="31" t="n">
        <v>30</v>
      </c>
      <c r="B32" s="31" t="inlineStr">
        <is>
          <t>100-369</t>
        </is>
      </c>
      <c r="C32" s="31" t="inlineStr">
        <is>
          <t>270</t>
        </is>
      </c>
      <c r="D32" s="35" t="n">
        <v>131.46</v>
      </c>
      <c r="E32" s="35" t="n">
        <v>44470991100</v>
      </c>
      <c r="F32" s="35" t="n">
        <v>40730</v>
      </c>
      <c r="G32" s="35" t="n">
        <v>3412</v>
      </c>
      <c r="H32" s="35" t="inlineStr">
        <is>
          <t>83/270</t>
        </is>
      </c>
      <c r="I32" s="35" t="n">
        <v>30.74</v>
      </c>
      <c r="J32" s="35" t="inlineStr">
        <is>
          <t>183/270</t>
        </is>
      </c>
      <c r="K32" s="35" t="n">
        <v>67.78</v>
      </c>
      <c r="L32" s="35" t="inlineStr">
        <is>
          <t>94/270</t>
        </is>
      </c>
      <c r="M32" s="35" t="n">
        <v>34.81</v>
      </c>
      <c r="N32" s="35" t="inlineStr">
        <is>
          <t>54/270</t>
        </is>
      </c>
      <c r="O32" s="35" t="n">
        <v>20</v>
      </c>
      <c r="P32" s="35" t="inlineStr">
        <is>
          <t>48/270</t>
        </is>
      </c>
      <c r="Q32" s="35" t="n">
        <v>17.78</v>
      </c>
      <c r="R32" s="35" t="inlineStr">
        <is>
          <t>45/270</t>
        </is>
      </c>
      <c r="S32" s="35" t="n">
        <v>16.67</v>
      </c>
      <c r="T32" s="35" t="inlineStr">
        <is>
          <t>24/27</t>
        </is>
      </c>
      <c r="U32" s="35" t="n">
        <v>88.89</v>
      </c>
      <c r="V32" s="35" t="inlineStr">
        <is>
          <t>20/27</t>
        </is>
      </c>
      <c r="W32" s="35" t="n">
        <v>74.06999999999999</v>
      </c>
      <c r="X32" s="35" t="n">
        <v>34737</v>
      </c>
      <c r="Y32" s="35" t="n">
        <v>3168</v>
      </c>
      <c r="Z32" s="35" t="n">
        <v>37905</v>
      </c>
      <c r="AA32" s="35" t="n">
        <v>2364</v>
      </c>
      <c r="AB32" s="35" t="n">
        <v>241</v>
      </c>
      <c r="AC32" s="35" t="n">
        <v>2781</v>
      </c>
      <c r="AD32" s="35" t="n">
        <v>41</v>
      </c>
      <c r="AE32" s="35" t="n">
        <v>3</v>
      </c>
      <c r="AF32" s="35" t="n">
        <v>44</v>
      </c>
      <c r="AG32" s="35" t="n">
        <v>128.66</v>
      </c>
      <c r="AH32" s="35" t="n">
        <v>11.73</v>
      </c>
      <c r="AI32" s="35" t="n">
        <v>11.73</v>
      </c>
      <c r="AJ32" s="35" t="n">
        <v>10.3</v>
      </c>
      <c r="AK32" s="35" t="n">
        <v>0.89</v>
      </c>
      <c r="AL32" s="35" t="n">
        <v>0.89</v>
      </c>
      <c r="AM32" s="35" t="n">
        <v>0.15</v>
      </c>
      <c r="AN32" s="35" t="n">
        <v>0.01</v>
      </c>
      <c r="AO32" s="35" t="n">
        <v>0.16</v>
      </c>
      <c r="AP32" s="35" t="n">
        <v>128.11</v>
      </c>
      <c r="AQ32" s="31" t="n">
        <v>141369300000</v>
      </c>
      <c r="AR32" s="31" t="n">
        <v>185840291100</v>
      </c>
      <c r="AS32" t="inlineStr">
        <is>
          <t>4/6</t>
        </is>
      </c>
      <c r="AT32" t="n">
        <v>66.67</v>
      </c>
      <c r="AW32" s="31" t="n">
        <v>3141540000</v>
      </c>
      <c r="AX32" s="31" t="n">
        <v>4003894000</v>
      </c>
      <c r="AY32" s="31" t="n">
        <v>862354000</v>
      </c>
      <c r="AZ32" s="35" t="n">
        <v>127.45</v>
      </c>
      <c r="BA32" s="17">
        <f>HYPERLINK("https://github.com/lottpicker/daily1689/blob/main/summary-v30.txt", "Click view")</f>
        <v/>
      </c>
    </row>
    <row r="33">
      <c r="A33" s="31" t="n">
        <v>33</v>
      </c>
      <c r="B33" s="31" t="inlineStr">
        <is>
          <t>100-369</t>
        </is>
      </c>
      <c r="C33" s="31" t="inlineStr">
        <is>
          <t>270</t>
        </is>
      </c>
      <c r="D33" s="35" t="n">
        <v>133.02</v>
      </c>
      <c r="E33" s="35" t="n">
        <v>46703825900</v>
      </c>
      <c r="F33" s="35" t="n">
        <v>40788</v>
      </c>
      <c r="G33" s="35" t="n">
        <v>3325</v>
      </c>
      <c r="H33" s="35" t="inlineStr">
        <is>
          <t>90/270</t>
        </is>
      </c>
      <c r="I33" s="35" t="n">
        <v>33.33</v>
      </c>
      <c r="J33" s="35" t="inlineStr">
        <is>
          <t>174/270</t>
        </is>
      </c>
      <c r="K33" s="35" t="n">
        <v>64.44</v>
      </c>
      <c r="L33" s="35" t="inlineStr">
        <is>
          <t>90/270</t>
        </is>
      </c>
      <c r="M33" s="35" t="n">
        <v>33.33</v>
      </c>
      <c r="N33" s="35" t="inlineStr">
        <is>
          <t>59/270</t>
        </is>
      </c>
      <c r="O33" s="35" t="n">
        <v>21.85</v>
      </c>
      <c r="P33" s="35" t="inlineStr">
        <is>
          <t>53/270</t>
        </is>
      </c>
      <c r="Q33" s="35" t="n">
        <v>19.63</v>
      </c>
      <c r="R33" s="35" t="inlineStr">
        <is>
          <t>49/270</t>
        </is>
      </c>
      <c r="S33" s="35" t="n">
        <v>18.15</v>
      </c>
      <c r="T33" s="35" t="inlineStr">
        <is>
          <t>26/27</t>
        </is>
      </c>
      <c r="U33" s="35" t="n">
        <v>96.3</v>
      </c>
      <c r="V33" s="35" t="inlineStr">
        <is>
          <t>25/27</t>
        </is>
      </c>
      <c r="W33" s="35" t="n">
        <v>92.59</v>
      </c>
      <c r="X33" s="35" t="n">
        <v>34843</v>
      </c>
      <c r="Y33" s="35" t="n">
        <v>3107</v>
      </c>
      <c r="Z33" s="35" t="n">
        <v>37950</v>
      </c>
      <c r="AA33" s="35" t="n">
        <v>2376</v>
      </c>
      <c r="AB33" s="35" t="n">
        <v>217</v>
      </c>
      <c r="AC33" s="35" t="n">
        <v>2789</v>
      </c>
      <c r="AD33" s="35" t="n">
        <v>48</v>
      </c>
      <c r="AE33" s="35" t="n">
        <v>1</v>
      </c>
      <c r="AF33" s="35" t="n">
        <v>49</v>
      </c>
      <c r="AG33" s="35" t="n">
        <v>129.05</v>
      </c>
      <c r="AH33" s="35" t="n">
        <v>11.51</v>
      </c>
      <c r="AI33" s="35" t="n">
        <v>11.51</v>
      </c>
      <c r="AJ33" s="35" t="n">
        <v>10.33</v>
      </c>
      <c r="AK33" s="35" t="n">
        <v>0.8</v>
      </c>
      <c r="AL33" s="35" t="n">
        <v>0.8</v>
      </c>
      <c r="AM33" s="35" t="n">
        <v>0.18</v>
      </c>
      <c r="AN33" s="35" t="n">
        <v>0</v>
      </c>
      <c r="AO33" s="35" t="n">
        <v>0.18</v>
      </c>
      <c r="AP33" s="35" t="n">
        <v>128.51</v>
      </c>
      <c r="AQ33" s="31" t="n">
        <v>141453000000</v>
      </c>
      <c r="AR33" s="31" t="n">
        <v>188156825900</v>
      </c>
      <c r="AS33" t="inlineStr">
        <is>
          <t>4/6</t>
        </is>
      </c>
      <c r="AT33" t="n">
        <v>66.67</v>
      </c>
      <c r="AW33" s="31" t="n">
        <v>3143400000</v>
      </c>
      <c r="AX33" s="31" t="n">
        <v>4003387300</v>
      </c>
      <c r="AY33" s="31" t="n">
        <v>859987300</v>
      </c>
      <c r="AZ33" s="35" t="n">
        <v>127.36</v>
      </c>
      <c r="BA33" s="17">
        <f>HYPERLINK("https://github.com/lottpicker/daily1689/blob/main/summary-v33.txt", "Click view")</f>
        <v/>
      </c>
    </row>
    <row r="34">
      <c r="A34" s="31" t="n">
        <v>34</v>
      </c>
      <c r="B34" s="31" t="inlineStr">
        <is>
          <t>100-369</t>
        </is>
      </c>
      <c r="C34" s="31" t="inlineStr">
        <is>
          <t>270</t>
        </is>
      </c>
      <c r="D34" s="35" t="n">
        <v>129.69</v>
      </c>
      <c r="E34" s="35" t="n">
        <v>42004271100</v>
      </c>
      <c r="F34" s="35" t="n">
        <v>40752</v>
      </c>
      <c r="G34" s="35" t="n">
        <v>3420</v>
      </c>
      <c r="H34" s="35" t="inlineStr">
        <is>
          <t>87/270</t>
        </is>
      </c>
      <c r="I34" s="35" t="n">
        <v>32.22</v>
      </c>
      <c r="J34" s="35" t="inlineStr">
        <is>
          <t>180/270</t>
        </is>
      </c>
      <c r="K34" s="35" t="n">
        <v>66.67</v>
      </c>
      <c r="L34" s="35" t="inlineStr">
        <is>
          <t>92/270</t>
        </is>
      </c>
      <c r="M34" s="35" t="n">
        <v>34.07</v>
      </c>
      <c r="N34" s="35" t="inlineStr">
        <is>
          <t>54/270</t>
        </is>
      </c>
      <c r="O34" s="35" t="n">
        <v>20</v>
      </c>
      <c r="P34" s="35" t="inlineStr">
        <is>
          <t>46/270</t>
        </is>
      </c>
      <c r="Q34" s="35" t="n">
        <v>17.04</v>
      </c>
      <c r="R34" s="35" t="inlineStr">
        <is>
          <t>43/270</t>
        </is>
      </c>
      <c r="S34" s="35" t="n">
        <v>15.93</v>
      </c>
      <c r="T34" s="35" t="inlineStr">
        <is>
          <t>26/27</t>
        </is>
      </c>
      <c r="U34" s="35" t="n">
        <v>96.3</v>
      </c>
      <c r="V34" s="35" t="inlineStr">
        <is>
          <t>24/27</t>
        </is>
      </c>
      <c r="W34" s="35" t="n">
        <v>88.89</v>
      </c>
      <c r="X34" s="35" t="n">
        <v>34740</v>
      </c>
      <c r="Y34" s="35" t="n">
        <v>3185</v>
      </c>
      <c r="Z34" s="35" t="n">
        <v>37925</v>
      </c>
      <c r="AA34" s="35" t="n">
        <v>2379</v>
      </c>
      <c r="AB34" s="35" t="n">
        <v>233</v>
      </c>
      <c r="AC34" s="35" t="n">
        <v>2784</v>
      </c>
      <c r="AD34" s="35" t="n">
        <v>41</v>
      </c>
      <c r="AE34" s="35" t="n">
        <v>2</v>
      </c>
      <c r="AF34" s="35" t="n">
        <v>43</v>
      </c>
      <c r="AG34" s="35" t="n">
        <v>128.67</v>
      </c>
      <c r="AH34" s="35" t="n">
        <v>11.8</v>
      </c>
      <c r="AI34" s="35" t="n">
        <v>11.8</v>
      </c>
      <c r="AJ34" s="35" t="n">
        <v>10.31</v>
      </c>
      <c r="AK34" s="35" t="n">
        <v>0.86</v>
      </c>
      <c r="AL34" s="35" t="n">
        <v>0.86</v>
      </c>
      <c r="AM34" s="35" t="n">
        <v>0.15</v>
      </c>
      <c r="AN34" s="35" t="n">
        <v>0.01</v>
      </c>
      <c r="AO34" s="35" t="n">
        <v>0.16</v>
      </c>
      <c r="AP34" s="35" t="n">
        <v>128.16</v>
      </c>
      <c r="AQ34" s="31" t="n">
        <v>141453000000</v>
      </c>
      <c r="AR34" s="31" t="n">
        <v>183457271100</v>
      </c>
      <c r="AS34" t="inlineStr">
        <is>
          <t>4/6</t>
        </is>
      </c>
      <c r="AT34" t="n">
        <v>66.67</v>
      </c>
      <c r="AW34" s="31" t="n">
        <v>3143400000</v>
      </c>
      <c r="AX34" s="31" t="n">
        <v>3991465900</v>
      </c>
      <c r="AY34" s="31" t="n">
        <v>848065900</v>
      </c>
      <c r="AZ34" s="35" t="n">
        <v>126.98</v>
      </c>
      <c r="BA34" s="17">
        <f>HYPERLINK("https://github.com/lottpicker/daily1689/blob/main/summary-v34.txt", "Click view")</f>
        <v/>
      </c>
    </row>
    <row r="35">
      <c r="A35" s="31" t="n">
        <v>36</v>
      </c>
      <c r="B35" s="31" t="inlineStr">
        <is>
          <t>100-369</t>
        </is>
      </c>
      <c r="C35" s="31" t="inlineStr">
        <is>
          <t>270</t>
        </is>
      </c>
      <c r="D35" s="35" t="n">
        <v>133.04</v>
      </c>
      <c r="E35" s="35" t="n">
        <v>46739833700</v>
      </c>
      <c r="F35" s="35" t="n">
        <v>40773</v>
      </c>
      <c r="G35" s="35" t="n">
        <v>3382</v>
      </c>
      <c r="H35" s="35" t="inlineStr">
        <is>
          <t>91/270</t>
        </is>
      </c>
      <c r="I35" s="35" t="n">
        <v>33.7</v>
      </c>
      <c r="J35" s="35" t="inlineStr">
        <is>
          <t>174/270</t>
        </is>
      </c>
      <c r="K35" s="35" t="n">
        <v>64.44</v>
      </c>
      <c r="L35" s="35" t="inlineStr">
        <is>
          <t>95/270</t>
        </is>
      </c>
      <c r="M35" s="35" t="n">
        <v>35.19</v>
      </c>
      <c r="N35" s="35" t="inlineStr">
        <is>
          <t>60/270</t>
        </is>
      </c>
      <c r="O35" s="35" t="n">
        <v>22.22</v>
      </c>
      <c r="P35" s="35" t="inlineStr">
        <is>
          <t>52/270</t>
        </is>
      </c>
      <c r="Q35" s="35" t="n">
        <v>19.26</v>
      </c>
      <c r="R35" s="35" t="inlineStr">
        <is>
          <t>49/270</t>
        </is>
      </c>
      <c r="S35" s="35" t="n">
        <v>18.15</v>
      </c>
      <c r="T35" s="35" t="inlineStr">
        <is>
          <t>26/27</t>
        </is>
      </c>
      <c r="U35" s="35" t="n">
        <v>96.3</v>
      </c>
      <c r="V35" s="35" t="inlineStr">
        <is>
          <t>25/27</t>
        </is>
      </c>
      <c r="W35" s="35" t="n">
        <v>92.59</v>
      </c>
      <c r="X35" s="35" t="n">
        <v>34769</v>
      </c>
      <c r="Y35" s="35" t="n">
        <v>3161</v>
      </c>
      <c r="Z35" s="35" t="n">
        <v>37930</v>
      </c>
      <c r="AA35" s="35" t="n">
        <v>2383</v>
      </c>
      <c r="AB35" s="35" t="n">
        <v>215</v>
      </c>
      <c r="AC35" s="35" t="n">
        <v>2794</v>
      </c>
      <c r="AD35" s="35" t="n">
        <v>43</v>
      </c>
      <c r="AE35" s="35" t="n">
        <v>6</v>
      </c>
      <c r="AF35" s="35" t="n">
        <v>49</v>
      </c>
      <c r="AG35" s="35" t="n">
        <v>128.77</v>
      </c>
      <c r="AH35" s="35" t="n">
        <v>11.71</v>
      </c>
      <c r="AI35" s="35" t="n">
        <v>11.71</v>
      </c>
      <c r="AJ35" s="35" t="n">
        <v>10.35</v>
      </c>
      <c r="AK35" s="35" t="n">
        <v>0.8</v>
      </c>
      <c r="AL35" s="35" t="n">
        <v>0.8</v>
      </c>
      <c r="AM35" s="35" t="n">
        <v>0.16</v>
      </c>
      <c r="AN35" s="35" t="n">
        <v>0.02</v>
      </c>
      <c r="AO35" s="35" t="n">
        <v>0.18</v>
      </c>
      <c r="AP35" s="35" t="n">
        <v>128.3</v>
      </c>
      <c r="AQ35" s="31" t="n">
        <v>141453000000</v>
      </c>
      <c r="AR35" s="31" t="n">
        <v>188192833700</v>
      </c>
      <c r="AS35" t="inlineStr">
        <is>
          <t>4/6</t>
        </is>
      </c>
      <c r="AT35" t="n">
        <v>66.67</v>
      </c>
      <c r="AW35" s="31" t="n">
        <v>3143400000</v>
      </c>
      <c r="AX35" s="31" t="n">
        <v>4530273400</v>
      </c>
      <c r="AY35" s="31" t="n">
        <v>1386873400</v>
      </c>
      <c r="AZ35" s="35" t="n">
        <v>144.12</v>
      </c>
      <c r="BA35" s="17">
        <f>HYPERLINK("https://github.com/lottpicker/daily1689/blob/main/summary-v36.txt", "Click view")</f>
        <v/>
      </c>
    </row>
    <row r="36">
      <c r="A36" s="31" t="n">
        <v>38</v>
      </c>
      <c r="B36" s="31" t="inlineStr">
        <is>
          <t>100-369</t>
        </is>
      </c>
      <c r="C36" s="31" t="inlineStr">
        <is>
          <t>270</t>
        </is>
      </c>
      <c r="D36" s="35" t="n">
        <v>130.88</v>
      </c>
      <c r="E36" s="35" t="n">
        <v>43674962700</v>
      </c>
      <c r="F36" s="35" t="n">
        <v>40755</v>
      </c>
      <c r="G36" s="35" t="n">
        <v>3426</v>
      </c>
      <c r="H36" s="35" t="inlineStr">
        <is>
          <t>89/270</t>
        </is>
      </c>
      <c r="I36" s="35" t="n">
        <v>32.96</v>
      </c>
      <c r="J36" s="35" t="inlineStr">
        <is>
          <t>178/270</t>
        </is>
      </c>
      <c r="K36" s="35" t="n">
        <v>65.93000000000001</v>
      </c>
      <c r="L36" s="35" t="inlineStr">
        <is>
          <t>91/270</t>
        </is>
      </c>
      <c r="M36" s="35" t="n">
        <v>33.7</v>
      </c>
      <c r="N36" s="35" t="inlineStr">
        <is>
          <t>52/270</t>
        </is>
      </c>
      <c r="O36" s="35" t="n">
        <v>19.26</v>
      </c>
      <c r="P36" s="35" t="inlineStr">
        <is>
          <t>44/270</t>
        </is>
      </c>
      <c r="Q36" s="35" t="n">
        <v>16.3</v>
      </c>
      <c r="R36" s="35" t="inlineStr">
        <is>
          <t>44/270</t>
        </is>
      </c>
      <c r="S36" s="35" t="n">
        <v>16.3</v>
      </c>
      <c r="T36" s="35" t="inlineStr">
        <is>
          <t>25/27</t>
        </is>
      </c>
      <c r="U36" s="35" t="n">
        <v>92.59</v>
      </c>
      <c r="V36" s="35" t="inlineStr">
        <is>
          <t>24/27</t>
        </is>
      </c>
      <c r="W36" s="35" t="n">
        <v>88.89</v>
      </c>
      <c r="X36" s="35" t="n">
        <v>34723</v>
      </c>
      <c r="Y36" s="35" t="n">
        <v>3200</v>
      </c>
      <c r="Z36" s="35" t="n">
        <v>37923</v>
      </c>
      <c r="AA36" s="35" t="n">
        <v>2383</v>
      </c>
      <c r="AB36" s="35" t="n">
        <v>219</v>
      </c>
      <c r="AC36" s="35" t="n">
        <v>2786</v>
      </c>
      <c r="AD36" s="35" t="n">
        <v>39</v>
      </c>
      <c r="AE36" s="35" t="n">
        <v>7</v>
      </c>
      <c r="AF36" s="35" t="n">
        <v>46</v>
      </c>
      <c r="AG36" s="35" t="n">
        <v>128.6</v>
      </c>
      <c r="AH36" s="35" t="n">
        <v>11.85</v>
      </c>
      <c r="AI36" s="35" t="n">
        <v>11.85</v>
      </c>
      <c r="AJ36" s="35" t="n">
        <v>10.32</v>
      </c>
      <c r="AK36" s="35" t="n">
        <v>0.8100000000000001</v>
      </c>
      <c r="AL36" s="35" t="n">
        <v>0.8100000000000001</v>
      </c>
      <c r="AM36" s="35" t="n">
        <v>0.14</v>
      </c>
      <c r="AN36" s="35" t="n">
        <v>0.03</v>
      </c>
      <c r="AO36" s="35" t="n">
        <v>0.17</v>
      </c>
      <c r="AP36" s="35" t="n">
        <v>128.14</v>
      </c>
      <c r="AQ36" s="31" t="n">
        <v>141453000000</v>
      </c>
      <c r="AR36" s="31" t="n">
        <v>185127962700</v>
      </c>
      <c r="AS36" t="inlineStr">
        <is>
          <t>4/6</t>
        </is>
      </c>
      <c r="AT36" t="n">
        <v>66.67</v>
      </c>
      <c r="AW36" s="31" t="n">
        <v>3143400000</v>
      </c>
      <c r="AX36" s="31" t="n">
        <v>4077945700</v>
      </c>
      <c r="AY36" s="31" t="n">
        <v>934545700</v>
      </c>
      <c r="AZ36" s="35" t="n">
        <v>129.73</v>
      </c>
      <c r="BA36" s="17">
        <f>HYPERLINK("https://github.com/lottpicker/daily1689/blob/main/summary-v38.txt", "Click view")</f>
        <v/>
      </c>
    </row>
    <row r="37">
      <c r="A37" s="31" t="n">
        <v>39</v>
      </c>
      <c r="B37" s="31" t="inlineStr">
        <is>
          <t>100-369</t>
        </is>
      </c>
      <c r="C37" s="31" t="inlineStr">
        <is>
          <t>270</t>
        </is>
      </c>
      <c r="D37" s="35" t="n">
        <v>126.55</v>
      </c>
      <c r="E37" s="35" t="n">
        <v>37553095700</v>
      </c>
      <c r="F37" s="35" t="n">
        <v>40737</v>
      </c>
      <c r="G37" s="35" t="n">
        <v>3458</v>
      </c>
      <c r="H37" s="35" t="inlineStr">
        <is>
          <t>89/270</t>
        </is>
      </c>
      <c r="I37" s="35" t="n">
        <v>32.96</v>
      </c>
      <c r="J37" s="35" t="inlineStr">
        <is>
          <t>177/270</t>
        </is>
      </c>
      <c r="K37" s="35" t="n">
        <v>65.56</v>
      </c>
      <c r="L37" s="35" t="inlineStr">
        <is>
          <t>81/270</t>
        </is>
      </c>
      <c r="M37" s="35" t="n">
        <v>30</v>
      </c>
      <c r="N37" s="35" t="inlineStr">
        <is>
          <t>48/270</t>
        </is>
      </c>
      <c r="O37" s="35" t="n">
        <v>17.78</v>
      </c>
      <c r="P37" s="35" t="inlineStr">
        <is>
          <t>40/270</t>
        </is>
      </c>
      <c r="Q37" s="35" t="n">
        <v>14.81</v>
      </c>
      <c r="R37" s="35" t="inlineStr">
        <is>
          <t>39/270</t>
        </is>
      </c>
      <c r="S37" s="35" t="n">
        <v>14.44</v>
      </c>
      <c r="T37" s="35" t="inlineStr">
        <is>
          <t>22/27</t>
        </is>
      </c>
      <c r="U37" s="35" t="n">
        <v>81.48</v>
      </c>
      <c r="V37" s="35" t="inlineStr">
        <is>
          <t>20/27</t>
        </is>
      </c>
      <c r="W37" s="35" t="n">
        <v>74.06999999999999</v>
      </c>
      <c r="X37" s="35" t="n">
        <v>34673</v>
      </c>
      <c r="Y37" s="35" t="n">
        <v>3237</v>
      </c>
      <c r="Z37" s="35" t="n">
        <v>37910</v>
      </c>
      <c r="AA37" s="35" t="n">
        <v>2403</v>
      </c>
      <c r="AB37" s="35" t="n">
        <v>219</v>
      </c>
      <c r="AC37" s="35" t="n">
        <v>2786</v>
      </c>
      <c r="AD37" s="35" t="n">
        <v>39</v>
      </c>
      <c r="AE37" s="35" t="n">
        <v>2</v>
      </c>
      <c r="AF37" s="35" t="n">
        <v>41</v>
      </c>
      <c r="AG37" s="35" t="n">
        <v>128.42</v>
      </c>
      <c r="AH37" s="35" t="n">
        <v>11.99</v>
      </c>
      <c r="AI37" s="35" t="n">
        <v>11.99</v>
      </c>
      <c r="AJ37" s="35" t="n">
        <v>10.32</v>
      </c>
      <c r="AK37" s="35" t="n">
        <v>0.8100000000000001</v>
      </c>
      <c r="AL37" s="35" t="n">
        <v>0.8100000000000001</v>
      </c>
      <c r="AM37" s="35" t="n">
        <v>0.14</v>
      </c>
      <c r="AN37" s="35" t="n">
        <v>0.01</v>
      </c>
      <c r="AO37" s="35" t="n">
        <v>0.15</v>
      </c>
      <c r="AP37" s="35" t="n">
        <v>128.02</v>
      </c>
      <c r="AQ37" s="31" t="n">
        <v>141453000000</v>
      </c>
      <c r="AR37" s="31" t="n">
        <v>179006095700</v>
      </c>
      <c r="AS37" t="inlineStr">
        <is>
          <t>4/6</t>
        </is>
      </c>
      <c r="AT37" t="n">
        <v>66.67</v>
      </c>
      <c r="AW37" s="31" t="n">
        <v>3143400000</v>
      </c>
      <c r="AX37" s="31" t="n">
        <v>2713978400</v>
      </c>
      <c r="AY37" s="31" t="n">
        <v>-429421600</v>
      </c>
      <c r="AZ37" s="35" t="n">
        <v>86.34</v>
      </c>
      <c r="BA37" s="17">
        <f>HYPERLINK("https://github.com/lottpicker/daily1689/blob/main/summary-v39.txt", "Click view")</f>
        <v/>
      </c>
    </row>
    <row r="38">
      <c r="A38" s="31" t="n">
        <v>43</v>
      </c>
      <c r="B38" s="31" t="inlineStr">
        <is>
          <t>100-369</t>
        </is>
      </c>
      <c r="C38" s="31" t="inlineStr">
        <is>
          <t>270</t>
        </is>
      </c>
      <c r="D38" s="35" t="n">
        <v>136.96</v>
      </c>
      <c r="E38" s="35" t="n">
        <v>52252970800</v>
      </c>
      <c r="F38" s="35" t="n">
        <v>40738</v>
      </c>
      <c r="G38" s="35" t="n">
        <v>3461</v>
      </c>
      <c r="H38" s="35" t="inlineStr">
        <is>
          <t>84/270</t>
        </is>
      </c>
      <c r="I38" s="35" t="n">
        <v>31.11</v>
      </c>
      <c r="J38" s="35" t="inlineStr">
        <is>
          <t>182/270</t>
        </is>
      </c>
      <c r="K38" s="35" t="n">
        <v>67.41</v>
      </c>
      <c r="L38" s="35" t="inlineStr">
        <is>
          <t>101/270</t>
        </is>
      </c>
      <c r="M38" s="35" t="n">
        <v>37.41</v>
      </c>
      <c r="N38" s="35" t="inlineStr">
        <is>
          <t>62/270</t>
        </is>
      </c>
      <c r="O38" s="35" t="n">
        <v>22.96</v>
      </c>
      <c r="P38" s="35" t="inlineStr">
        <is>
          <t>55/270</t>
        </is>
      </c>
      <c r="Q38" s="35" t="n">
        <v>20.37</v>
      </c>
      <c r="R38" s="35" t="inlineStr">
        <is>
          <t>53/270</t>
        </is>
      </c>
      <c r="S38" s="35" t="n">
        <v>19.63</v>
      </c>
      <c r="T38" s="35" t="inlineStr">
        <is>
          <t>27/27</t>
        </is>
      </c>
      <c r="U38" s="35" t="n">
        <v>100</v>
      </c>
      <c r="V38" s="35" t="inlineStr">
        <is>
          <t>24/27</t>
        </is>
      </c>
      <c r="W38" s="35" t="n">
        <v>88.89</v>
      </c>
      <c r="X38" s="35" t="n">
        <v>34650</v>
      </c>
      <c r="Y38" s="35" t="n">
        <v>3234</v>
      </c>
      <c r="Z38" s="35" t="n">
        <v>37884</v>
      </c>
      <c r="AA38" s="35" t="n">
        <v>2372</v>
      </c>
      <c r="AB38" s="35" t="n">
        <v>222</v>
      </c>
      <c r="AC38" s="35" t="n">
        <v>2802</v>
      </c>
      <c r="AD38" s="35" t="n">
        <v>47</v>
      </c>
      <c r="AE38" s="35" t="n">
        <v>5</v>
      </c>
      <c r="AF38" s="35" t="n">
        <v>52</v>
      </c>
      <c r="AG38" s="35" t="n">
        <v>128.33</v>
      </c>
      <c r="AH38" s="35" t="n">
        <v>11.98</v>
      </c>
      <c r="AI38" s="35" t="n">
        <v>11.98</v>
      </c>
      <c r="AJ38" s="35" t="n">
        <v>10.38</v>
      </c>
      <c r="AK38" s="35" t="n">
        <v>0.82</v>
      </c>
      <c r="AL38" s="35" t="n">
        <v>0.82</v>
      </c>
      <c r="AM38" s="35" t="n">
        <v>0.17</v>
      </c>
      <c r="AN38" s="35" t="n">
        <v>0.02</v>
      </c>
      <c r="AO38" s="35" t="n">
        <v>0.19</v>
      </c>
      <c r="AP38" s="35" t="n">
        <v>127.89</v>
      </c>
      <c r="AQ38" s="31" t="n">
        <v>141369300000</v>
      </c>
      <c r="AR38" s="31" t="n">
        <v>193622270800</v>
      </c>
      <c r="AS38" t="inlineStr">
        <is>
          <t>4/6</t>
        </is>
      </c>
      <c r="AT38" t="n">
        <v>66.67</v>
      </c>
      <c r="AW38" s="31" t="n">
        <v>3141540000</v>
      </c>
      <c r="AX38" s="31" t="n">
        <v>5245093800</v>
      </c>
      <c r="AY38" s="31" t="n">
        <v>2103553800</v>
      </c>
      <c r="AZ38" s="35" t="n">
        <v>166.96</v>
      </c>
      <c r="BA38" s="17">
        <f>HYPERLINK("https://github.com/lottpicker/daily1689/blob/main/summary-v43.txt", "Click view")</f>
        <v/>
      </c>
    </row>
    <row r="39">
      <c r="A39" s="31" t="n">
        <v>50</v>
      </c>
      <c r="B39" s="31" t="inlineStr">
        <is>
          <t>100-369</t>
        </is>
      </c>
      <c r="C39" s="31" t="inlineStr">
        <is>
          <t>270</t>
        </is>
      </c>
      <c r="D39" s="35" t="n">
        <v>136.32</v>
      </c>
      <c r="E39" s="35" t="n">
        <v>51347102400</v>
      </c>
      <c r="F39" s="35" t="n">
        <v>40793</v>
      </c>
      <c r="G39" s="35" t="n">
        <v>3369</v>
      </c>
      <c r="H39" s="35" t="inlineStr">
        <is>
          <t>80/270</t>
        </is>
      </c>
      <c r="I39" s="35" t="n">
        <v>29.63</v>
      </c>
      <c r="J39" s="35" t="inlineStr">
        <is>
          <t>185/270</t>
        </is>
      </c>
      <c r="K39" s="35" t="n">
        <v>68.52</v>
      </c>
      <c r="L39" s="35" t="inlineStr">
        <is>
          <t>101/270</t>
        </is>
      </c>
      <c r="M39" s="35" t="n">
        <v>37.41</v>
      </c>
      <c r="N39" s="35" t="inlineStr">
        <is>
          <t>62/270</t>
        </is>
      </c>
      <c r="O39" s="35" t="n">
        <v>22.96</v>
      </c>
      <c r="P39" s="35" t="inlineStr">
        <is>
          <t>53/270</t>
        </is>
      </c>
      <c r="Q39" s="35" t="n">
        <v>19.63</v>
      </c>
      <c r="R39" s="35" t="inlineStr">
        <is>
          <t>51/270</t>
        </is>
      </c>
      <c r="S39" s="35" t="n">
        <v>18.89</v>
      </c>
      <c r="T39" s="35" t="inlineStr">
        <is>
          <t>27/27</t>
        </is>
      </c>
      <c r="U39" s="35" t="n">
        <v>100</v>
      </c>
      <c r="V39" s="35" t="inlineStr">
        <is>
          <t>27/27</t>
        </is>
      </c>
      <c r="W39" s="35" t="n">
        <v>100</v>
      </c>
      <c r="X39" s="35" t="n">
        <v>34833</v>
      </c>
      <c r="Y39" s="35" t="n">
        <v>3134</v>
      </c>
      <c r="Z39" s="35" t="n">
        <v>37967</v>
      </c>
      <c r="AA39" s="35" t="n">
        <v>2341</v>
      </c>
      <c r="AB39" s="35" t="n">
        <v>230</v>
      </c>
      <c r="AC39" s="35" t="n">
        <v>2775</v>
      </c>
      <c r="AD39" s="35" t="n">
        <v>46</v>
      </c>
      <c r="AE39" s="35" t="n">
        <v>5</v>
      </c>
      <c r="AF39" s="35" t="n">
        <v>51</v>
      </c>
      <c r="AG39" s="35" t="n">
        <v>129.01</v>
      </c>
      <c r="AH39" s="35" t="n">
        <v>11.61</v>
      </c>
      <c r="AI39" s="35" t="n">
        <v>11.61</v>
      </c>
      <c r="AJ39" s="35" t="n">
        <v>10.28</v>
      </c>
      <c r="AK39" s="35" t="n">
        <v>0.85</v>
      </c>
      <c r="AL39" s="35" t="n">
        <v>0.85</v>
      </c>
      <c r="AM39" s="35" t="n">
        <v>0.17</v>
      </c>
      <c r="AN39" s="35" t="n">
        <v>0.02</v>
      </c>
      <c r="AO39" s="35" t="n">
        <v>0.19</v>
      </c>
      <c r="AP39" s="35" t="n">
        <v>128.27</v>
      </c>
      <c r="AQ39" s="31" t="n">
        <v>141369300000</v>
      </c>
      <c r="AR39" s="31" t="n">
        <v>192716402400</v>
      </c>
      <c r="AS39" t="inlineStr">
        <is>
          <t>4/6</t>
        </is>
      </c>
      <c r="AT39" t="n">
        <v>66.67</v>
      </c>
      <c r="AW39" s="31" t="n">
        <v>3141540000</v>
      </c>
      <c r="AX39" s="31" t="n">
        <v>3933182000</v>
      </c>
      <c r="AY39" s="31" t="n">
        <v>791642000</v>
      </c>
      <c r="AZ39" s="35" t="n">
        <v>125.2</v>
      </c>
      <c r="BA39" s="17">
        <f>HYPERLINK("https://github.com/lottpicker/daily1689/blob/main/summary-v50.txt", "Click view")</f>
        <v/>
      </c>
    </row>
    <row r="40">
      <c r="A40" s="31" t="n">
        <v>58</v>
      </c>
      <c r="B40" s="31" t="inlineStr">
        <is>
          <t>100-369</t>
        </is>
      </c>
      <c r="C40" s="31" t="inlineStr">
        <is>
          <t>270</t>
        </is>
      </c>
      <c r="D40" s="35" t="n">
        <v>133.16</v>
      </c>
      <c r="E40" s="35" t="n">
        <v>46884020100</v>
      </c>
      <c r="F40" s="35" t="n">
        <v>40754</v>
      </c>
      <c r="G40" s="35" t="n">
        <v>3377</v>
      </c>
      <c r="H40" s="35" t="inlineStr">
        <is>
          <t>94/270</t>
        </is>
      </c>
      <c r="I40" s="35" t="n">
        <v>34.81</v>
      </c>
      <c r="J40" s="35" t="inlineStr">
        <is>
          <t>172/270</t>
        </is>
      </c>
      <c r="K40" s="35" t="n">
        <v>63.7</v>
      </c>
      <c r="L40" s="35" t="inlineStr">
        <is>
          <t>98/270</t>
        </is>
      </c>
      <c r="M40" s="35" t="n">
        <v>36.3</v>
      </c>
      <c r="N40" s="35" t="inlineStr">
        <is>
          <t>56/270</t>
        </is>
      </c>
      <c r="O40" s="35" t="n">
        <v>20.74</v>
      </c>
      <c r="P40" s="35" t="inlineStr">
        <is>
          <t>50/270</t>
        </is>
      </c>
      <c r="Q40" s="35" t="n">
        <v>18.52</v>
      </c>
      <c r="R40" s="35" t="inlineStr">
        <is>
          <t>50/270</t>
        </is>
      </c>
      <c r="S40" s="35" t="n">
        <v>18.52</v>
      </c>
      <c r="T40" s="35" t="inlineStr">
        <is>
          <t>25/27</t>
        </is>
      </c>
      <c r="U40" s="35" t="n">
        <v>92.59</v>
      </c>
      <c r="V40" s="35" t="inlineStr">
        <is>
          <t>25/27</t>
        </is>
      </c>
      <c r="W40" s="35" t="n">
        <v>92.59</v>
      </c>
      <c r="X40" s="35" t="n">
        <v>34739</v>
      </c>
      <c r="Y40" s="35" t="n">
        <v>3169</v>
      </c>
      <c r="Z40" s="35" t="n">
        <v>37908</v>
      </c>
      <c r="AA40" s="35" t="n">
        <v>2389</v>
      </c>
      <c r="AB40" s="35" t="n">
        <v>207</v>
      </c>
      <c r="AC40" s="35" t="n">
        <v>2796</v>
      </c>
      <c r="AD40" s="35" t="n">
        <v>49</v>
      </c>
      <c r="AE40" s="35" t="n">
        <v>1</v>
      </c>
      <c r="AF40" s="35" t="n">
        <v>50</v>
      </c>
      <c r="AG40" s="35" t="n">
        <v>128.66</v>
      </c>
      <c r="AH40" s="35" t="n">
        <v>11.74</v>
      </c>
      <c r="AI40" s="35" t="n">
        <v>11.74</v>
      </c>
      <c r="AJ40" s="35" t="n">
        <v>10.36</v>
      </c>
      <c r="AK40" s="35" t="n">
        <v>0.77</v>
      </c>
      <c r="AL40" s="35" t="n">
        <v>0.77</v>
      </c>
      <c r="AM40" s="35" t="n">
        <v>0.18</v>
      </c>
      <c r="AN40" s="35" t="n">
        <v>0</v>
      </c>
      <c r="AO40" s="35" t="n">
        <v>0.19</v>
      </c>
      <c r="AP40" s="35" t="n">
        <v>128.17</v>
      </c>
      <c r="AQ40" s="31" t="n">
        <v>141369300000</v>
      </c>
      <c r="AR40" s="31" t="n">
        <v>188253320100</v>
      </c>
      <c r="AS40" t="inlineStr">
        <is>
          <t>4/6</t>
        </is>
      </c>
      <c r="AT40" t="n">
        <v>66.67</v>
      </c>
      <c r="AW40" s="31" t="n">
        <v>3141540000</v>
      </c>
      <c r="AX40" s="31" t="n">
        <v>3948497000</v>
      </c>
      <c r="AY40" s="31" t="n">
        <v>806957000</v>
      </c>
      <c r="AZ40" s="35" t="n">
        <v>125.69</v>
      </c>
      <c r="BA40">
        <f>HYPERLINK("https://github.com/lottpicker/daily1689/blob/main/summary-v58.txt", "Click view")</f>
        <v/>
      </c>
    </row>
    <row r="41">
      <c r="A41" s="31" t="n">
        <v>60</v>
      </c>
      <c r="B41" s="31" t="inlineStr">
        <is>
          <t>100-369</t>
        </is>
      </c>
      <c r="C41" s="31" t="inlineStr">
        <is>
          <t>270</t>
        </is>
      </c>
      <c r="D41" s="35" t="n">
        <v>131.88</v>
      </c>
      <c r="E41" s="35" t="n">
        <v>45072759000</v>
      </c>
      <c r="F41" s="35" t="n">
        <v>40754</v>
      </c>
      <c r="G41" s="35" t="n">
        <v>3367</v>
      </c>
      <c r="H41" s="35" t="inlineStr">
        <is>
          <t>94/270</t>
        </is>
      </c>
      <c r="I41" s="35" t="n">
        <v>34.81</v>
      </c>
      <c r="J41" s="35" t="inlineStr">
        <is>
          <t>169/270</t>
        </is>
      </c>
      <c r="K41" s="35" t="n">
        <v>62.59</v>
      </c>
      <c r="L41" s="35" t="inlineStr">
        <is>
          <t>84/270</t>
        </is>
      </c>
      <c r="M41" s="35" t="n">
        <v>31.11</v>
      </c>
      <c r="N41" s="35" t="inlineStr">
        <is>
          <t>59/270</t>
        </is>
      </c>
      <c r="O41" s="35" t="n">
        <v>21.85</v>
      </c>
      <c r="P41" s="35" t="inlineStr">
        <is>
          <t>51/270</t>
        </is>
      </c>
      <c r="Q41" s="35" t="n">
        <v>18.89</v>
      </c>
      <c r="R41" s="35" t="inlineStr">
        <is>
          <t>49/270</t>
        </is>
      </c>
      <c r="S41" s="35" t="n">
        <v>18.15</v>
      </c>
      <c r="T41" s="35" t="inlineStr">
        <is>
          <t>25/27</t>
        </is>
      </c>
      <c r="U41" s="35" t="n">
        <v>92.59</v>
      </c>
      <c r="V41" s="35" t="inlineStr">
        <is>
          <t>25/27</t>
        </is>
      </c>
      <c r="W41" s="35" t="n">
        <v>92.59</v>
      </c>
      <c r="X41" s="35" t="n">
        <v>34745</v>
      </c>
      <c r="Y41" s="35" t="n">
        <v>3163</v>
      </c>
      <c r="Z41" s="35" t="n">
        <v>37908</v>
      </c>
      <c r="AA41" s="35" t="n">
        <v>2400</v>
      </c>
      <c r="AB41" s="35" t="n">
        <v>196</v>
      </c>
      <c r="AC41" s="35" t="n">
        <v>2796</v>
      </c>
      <c r="AD41" s="35" t="n">
        <v>42</v>
      </c>
      <c r="AE41" s="35" t="n">
        <v>8</v>
      </c>
      <c r="AF41" s="35" t="n">
        <v>50</v>
      </c>
      <c r="AG41" s="35" t="n">
        <v>128.69</v>
      </c>
      <c r="AH41" s="35" t="n">
        <v>11.71</v>
      </c>
      <c r="AI41" s="35" t="n">
        <v>11.71</v>
      </c>
      <c r="AJ41" s="35" t="n">
        <v>10.36</v>
      </c>
      <c r="AK41" s="35" t="n">
        <v>0.73</v>
      </c>
      <c r="AL41" s="35" t="n">
        <v>0.73</v>
      </c>
      <c r="AM41" s="35" t="n">
        <v>0.16</v>
      </c>
      <c r="AN41" s="35" t="n">
        <v>0.03</v>
      </c>
      <c r="AO41" s="35" t="n">
        <v>0.19</v>
      </c>
      <c r="AP41" s="35" t="n">
        <v>128.25</v>
      </c>
      <c r="AQ41" s="31" t="n">
        <v>141369300000</v>
      </c>
      <c r="AR41" s="31" t="n">
        <v>186442059000</v>
      </c>
      <c r="AS41" t="inlineStr">
        <is>
          <t>4/6</t>
        </is>
      </c>
      <c r="AT41" t="n">
        <v>66.67</v>
      </c>
      <c r="AW41" s="31" t="n">
        <v>3141540000</v>
      </c>
      <c r="AX41" s="31" t="n">
        <v>3937519000</v>
      </c>
      <c r="AY41" s="31" t="n">
        <v>795979000</v>
      </c>
      <c r="AZ41" s="35" t="n">
        <v>125.34</v>
      </c>
      <c r="BA41">
        <f>HYPERLINK("https://github.com/lottpicker/daily1689/blob/main/summary-v60.txt", "Click view")</f>
        <v/>
      </c>
    </row>
    <row r="42">
      <c r="A42" s="31" t="n">
        <v>61</v>
      </c>
      <c r="B42" s="31" t="inlineStr">
        <is>
          <t>100-369</t>
        </is>
      </c>
      <c r="C42" s="31" t="inlineStr">
        <is>
          <t>270</t>
        </is>
      </c>
      <c r="D42" s="35" t="n">
        <v>130.98</v>
      </c>
      <c r="E42" s="35" t="n">
        <v>43792295200</v>
      </c>
      <c r="F42" s="35" t="n">
        <v>40728</v>
      </c>
      <c r="G42" s="35" t="n">
        <v>3325</v>
      </c>
      <c r="H42" s="35" t="inlineStr">
        <is>
          <t>88/270</t>
        </is>
      </c>
      <c r="I42" s="35" t="n">
        <v>32.59</v>
      </c>
      <c r="J42" s="35" t="inlineStr">
        <is>
          <t>174/270</t>
        </is>
      </c>
      <c r="K42" s="35" t="n">
        <v>64.44</v>
      </c>
      <c r="L42" s="35" t="inlineStr">
        <is>
          <t>95/270</t>
        </is>
      </c>
      <c r="M42" s="35" t="n">
        <v>35.19</v>
      </c>
      <c r="N42" s="35" t="inlineStr">
        <is>
          <t>50/270</t>
        </is>
      </c>
      <c r="O42" s="35" t="n">
        <v>18.52</v>
      </c>
      <c r="P42" s="35" t="inlineStr">
        <is>
          <t>48/270</t>
        </is>
      </c>
      <c r="Q42" s="35" t="n">
        <v>17.78</v>
      </c>
      <c r="R42" s="35" t="inlineStr">
        <is>
          <t>47/270</t>
        </is>
      </c>
      <c r="S42" s="35" t="n">
        <v>17.41</v>
      </c>
      <c r="T42" s="35" t="inlineStr">
        <is>
          <t>25/27</t>
        </is>
      </c>
      <c r="U42" s="35" t="n">
        <v>92.59</v>
      </c>
      <c r="V42" s="35" t="inlineStr">
        <is>
          <t>23/27</t>
        </is>
      </c>
      <c r="W42" s="35" t="n">
        <v>85.19</v>
      </c>
      <c r="X42" s="35" t="n">
        <v>34780</v>
      </c>
      <c r="Y42" s="35" t="n">
        <v>3106</v>
      </c>
      <c r="Z42" s="35" t="n">
        <v>37886</v>
      </c>
      <c r="AA42" s="35" t="n">
        <v>2393</v>
      </c>
      <c r="AB42" s="35" t="n">
        <v>214</v>
      </c>
      <c r="AC42" s="35" t="n">
        <v>2795</v>
      </c>
      <c r="AD42" s="35" t="n">
        <v>42</v>
      </c>
      <c r="AE42" s="35" t="n">
        <v>5</v>
      </c>
      <c r="AF42" s="35" t="n">
        <v>47</v>
      </c>
      <c r="AG42" s="35" t="n">
        <v>128.81</v>
      </c>
      <c r="AH42" s="35" t="n">
        <v>11.5</v>
      </c>
      <c r="AI42" s="35" t="n">
        <v>11.5</v>
      </c>
      <c r="AJ42" s="35" t="n">
        <v>10.35</v>
      </c>
      <c r="AK42" s="35" t="n">
        <v>0.79</v>
      </c>
      <c r="AL42" s="35" t="n">
        <v>0.79</v>
      </c>
      <c r="AM42" s="35" t="n">
        <v>0.16</v>
      </c>
      <c r="AN42" s="35" t="n">
        <v>0.02</v>
      </c>
      <c r="AO42" s="35" t="n">
        <v>0.17</v>
      </c>
      <c r="AP42" s="35" t="n">
        <v>128.43</v>
      </c>
      <c r="AQ42" s="31" t="n">
        <v>141369300000</v>
      </c>
      <c r="AR42" s="31" t="n">
        <v>185161595200</v>
      </c>
      <c r="AS42" t="inlineStr">
        <is>
          <t>4/6</t>
        </is>
      </c>
      <c r="AT42" t="n">
        <v>66.67</v>
      </c>
      <c r="AW42" s="31" t="n">
        <v>3141540000</v>
      </c>
      <c r="AX42" s="31" t="n">
        <v>2989414800</v>
      </c>
      <c r="AY42" s="31" t="n">
        <v>-152125200</v>
      </c>
      <c r="AZ42" s="35" t="n">
        <v>95.16</v>
      </c>
      <c r="BA42">
        <f>HYPERLINK("https://github.com/lottpicker/daily1689/blob/main/summary-v61.txt", "Click view")</f>
        <v/>
      </c>
    </row>
    <row r="43">
      <c r="A43" s="31" t="n">
        <v>65</v>
      </c>
      <c r="B43" s="31" t="inlineStr">
        <is>
          <t>100-369</t>
        </is>
      </c>
      <c r="C43" s="31" t="inlineStr">
        <is>
          <t>270</t>
        </is>
      </c>
      <c r="D43" s="35" t="n">
        <v>134.96</v>
      </c>
      <c r="E43" s="35" t="n">
        <v>49416602200</v>
      </c>
      <c r="F43" s="35" t="n">
        <v>40738</v>
      </c>
      <c r="G43" s="35" t="n">
        <v>3394</v>
      </c>
      <c r="H43" s="35" t="inlineStr">
        <is>
          <t>98/270</t>
        </is>
      </c>
      <c r="I43" s="35" t="n">
        <v>36.3</v>
      </c>
      <c r="J43" s="35" t="inlineStr">
        <is>
          <t>166/270</t>
        </is>
      </c>
      <c r="K43" s="35" t="n">
        <v>61.48</v>
      </c>
      <c r="L43" s="35" t="inlineStr">
        <is>
          <t>102/270</t>
        </is>
      </c>
      <c r="M43" s="35" t="n">
        <v>37.78</v>
      </c>
      <c r="N43" s="35" t="inlineStr">
        <is>
          <t>61/270</t>
        </is>
      </c>
      <c r="O43" s="35" t="n">
        <v>22.59</v>
      </c>
      <c r="P43" s="35" t="inlineStr">
        <is>
          <t>55/270</t>
        </is>
      </c>
      <c r="Q43" s="35" t="n">
        <v>20.37</v>
      </c>
      <c r="R43" s="35" t="inlineStr">
        <is>
          <t>52/270</t>
        </is>
      </c>
      <c r="S43" s="35" t="n">
        <v>19.26</v>
      </c>
      <c r="T43" s="35" t="inlineStr">
        <is>
          <t>25/27</t>
        </is>
      </c>
      <c r="U43" s="35" t="n">
        <v>92.59</v>
      </c>
      <c r="V43" s="35" t="inlineStr">
        <is>
          <t>24/27</t>
        </is>
      </c>
      <c r="W43" s="35" t="n">
        <v>88.89</v>
      </c>
      <c r="X43" s="35" t="n">
        <v>34700</v>
      </c>
      <c r="Y43" s="35" t="n">
        <v>3184</v>
      </c>
      <c r="Z43" s="35" t="n">
        <v>37884</v>
      </c>
      <c r="AA43" s="35" t="n">
        <v>2388</v>
      </c>
      <c r="AB43" s="35" t="n">
        <v>206</v>
      </c>
      <c r="AC43" s="35" t="n">
        <v>2802</v>
      </c>
      <c r="AD43" s="35" t="n">
        <v>48</v>
      </c>
      <c r="AE43" s="35" t="n">
        <v>4</v>
      </c>
      <c r="AF43" s="35" t="n">
        <v>52</v>
      </c>
      <c r="AG43" s="35" t="n">
        <v>128.52</v>
      </c>
      <c r="AH43" s="35" t="n">
        <v>11.79</v>
      </c>
      <c r="AI43" s="35" t="n">
        <v>11.79</v>
      </c>
      <c r="AJ43" s="35" t="n">
        <v>10.38</v>
      </c>
      <c r="AK43" s="35" t="n">
        <v>0.76</v>
      </c>
      <c r="AL43" s="35" t="n">
        <v>0.76</v>
      </c>
      <c r="AM43" s="35" t="n">
        <v>0.18</v>
      </c>
      <c r="AN43" s="35" t="n">
        <v>0.01</v>
      </c>
      <c r="AO43" s="35" t="n">
        <v>0.19</v>
      </c>
      <c r="AP43" s="35" t="n">
        <v>128.18</v>
      </c>
      <c r="AQ43" s="31" t="n">
        <v>141369300000</v>
      </c>
      <c r="AR43" s="31" t="n">
        <v>190785902200</v>
      </c>
      <c r="AS43" t="inlineStr">
        <is>
          <t>4/6</t>
        </is>
      </c>
      <c r="AT43" t="n">
        <v>66.67</v>
      </c>
      <c r="AW43" s="31" t="n">
        <v>3141540000</v>
      </c>
      <c r="AX43" s="31" t="n">
        <v>5224793800</v>
      </c>
      <c r="AY43" s="31" t="n">
        <v>2083253800</v>
      </c>
      <c r="AZ43" s="35" t="n">
        <v>166.31</v>
      </c>
      <c r="BA43">
        <f>HYPERLINK("https://github.com/lottpicker/daily1689/blob/main/summary-v65.txt", "Click view")</f>
        <v/>
      </c>
    </row>
    <row r="44">
      <c r="A44" s="31" t="n">
        <v>73</v>
      </c>
      <c r="B44" s="31" t="inlineStr">
        <is>
          <t>100-369</t>
        </is>
      </c>
      <c r="C44" s="31" t="inlineStr">
        <is>
          <t>270</t>
        </is>
      </c>
      <c r="D44" s="35" t="n">
        <v>123.78</v>
      </c>
      <c r="E44" s="35" t="n">
        <v>33613829300</v>
      </c>
      <c r="F44" s="35" t="n">
        <v>40700</v>
      </c>
      <c r="G44" s="35" t="n">
        <v>3382</v>
      </c>
      <c r="H44" s="35" t="inlineStr">
        <is>
          <t>97/270</t>
        </is>
      </c>
      <c r="I44" s="35" t="n">
        <v>35.93</v>
      </c>
      <c r="J44" s="35" t="inlineStr">
        <is>
          <t>164/270</t>
        </is>
      </c>
      <c r="K44" s="35" t="n">
        <v>60.74</v>
      </c>
      <c r="L44" s="35" t="inlineStr">
        <is>
          <t>82/270</t>
        </is>
      </c>
      <c r="M44" s="35" t="n">
        <v>30.37</v>
      </c>
      <c r="N44" s="35" t="inlineStr">
        <is>
          <t>51/270</t>
        </is>
      </c>
      <c r="O44" s="35" t="n">
        <v>18.89</v>
      </c>
      <c r="P44" s="35" t="inlineStr">
        <is>
          <t>42/270</t>
        </is>
      </c>
      <c r="Q44" s="35" t="n">
        <v>15.56</v>
      </c>
      <c r="R44" s="35" t="inlineStr">
        <is>
          <t>39/270</t>
        </is>
      </c>
      <c r="S44" s="35" t="n">
        <v>14.44</v>
      </c>
      <c r="T44" s="35" t="inlineStr">
        <is>
          <t>25/27</t>
        </is>
      </c>
      <c r="U44" s="35" t="n">
        <v>92.59</v>
      </c>
      <c r="V44" s="35" t="inlineStr">
        <is>
          <t>23/27</t>
        </is>
      </c>
      <c r="W44" s="35" t="n">
        <v>85.19</v>
      </c>
      <c r="X44" s="35" t="n">
        <v>34716</v>
      </c>
      <c r="Y44" s="35" t="n">
        <v>3164</v>
      </c>
      <c r="Z44" s="35" t="n">
        <v>37880</v>
      </c>
      <c r="AA44" s="35" t="n">
        <v>2412</v>
      </c>
      <c r="AB44" s="35" t="n">
        <v>213</v>
      </c>
      <c r="AC44" s="35" t="n">
        <v>2781</v>
      </c>
      <c r="AD44" s="35" t="n">
        <v>34</v>
      </c>
      <c r="AE44" s="35" t="n">
        <v>5</v>
      </c>
      <c r="AF44" s="35" t="n">
        <v>39</v>
      </c>
      <c r="AG44" s="35" t="n">
        <v>128.58</v>
      </c>
      <c r="AH44" s="35" t="n">
        <v>11.72</v>
      </c>
      <c r="AI44" s="35" t="n">
        <v>11.72</v>
      </c>
      <c r="AJ44" s="35" t="n">
        <v>10.3</v>
      </c>
      <c r="AK44" s="35" t="n">
        <v>0.79</v>
      </c>
      <c r="AL44" s="35" t="n">
        <v>0.79</v>
      </c>
      <c r="AM44" s="35" t="n">
        <v>0.13</v>
      </c>
      <c r="AN44" s="35" t="n">
        <v>0.02</v>
      </c>
      <c r="AO44" s="35" t="n">
        <v>0.14</v>
      </c>
      <c r="AP44" s="35" t="n">
        <v>128.24</v>
      </c>
      <c r="AQ44" s="31" t="n">
        <v>141369300000</v>
      </c>
      <c r="AR44" s="31" t="n">
        <v>174983129300</v>
      </c>
      <c r="AS44" t="inlineStr">
        <is>
          <t>3/6</t>
        </is>
      </c>
      <c r="AT44" t="n">
        <v>50</v>
      </c>
      <c r="AU44" t="inlineStr">
        <is>
          <t>3/6</t>
        </is>
      </c>
      <c r="AV44" t="n">
        <v>50</v>
      </c>
      <c r="AW44" s="31" t="n">
        <v>3141540000</v>
      </c>
      <c r="AX44" s="31" t="n">
        <v>5977268300</v>
      </c>
      <c r="AY44" s="31" t="n">
        <v>2835728300</v>
      </c>
      <c r="AZ44" s="35" t="n">
        <v>190.27</v>
      </c>
      <c r="BA44">
        <f>HYPERLINK("https://github.com/lottpicker/daily1689/blob/main/summary-v73.txt", "Click view")</f>
        <v/>
      </c>
    </row>
    <row r="45">
      <c r="A45" s="31" t="n">
        <v>41</v>
      </c>
      <c r="B45" s="31" t="inlineStr">
        <is>
          <t>100-369</t>
        </is>
      </c>
      <c r="C45" s="31" t="inlineStr">
        <is>
          <t>270</t>
        </is>
      </c>
      <c r="D45" s="35" t="n">
        <v>137.41</v>
      </c>
      <c r="E45" s="35" t="n">
        <v>52880731500</v>
      </c>
      <c r="F45" s="35" t="n">
        <v>40738</v>
      </c>
      <c r="G45" s="35" t="n">
        <v>3383</v>
      </c>
      <c r="H45" s="35" t="inlineStr">
        <is>
          <t>81/270</t>
        </is>
      </c>
      <c r="I45" s="35" t="n">
        <v>30</v>
      </c>
      <c r="J45" s="35" t="inlineStr">
        <is>
          <t>186/270</t>
        </is>
      </c>
      <c r="K45" s="35" t="n">
        <v>68.89</v>
      </c>
      <c r="L45" s="35" t="inlineStr">
        <is>
          <t>101/270</t>
        </is>
      </c>
      <c r="M45" s="35" t="n">
        <v>37.41</v>
      </c>
      <c r="N45" s="35" t="inlineStr">
        <is>
          <t>62/270</t>
        </is>
      </c>
      <c r="O45" s="35" t="n">
        <v>22.96</v>
      </c>
      <c r="P45" s="35" t="inlineStr">
        <is>
          <t>53/270</t>
        </is>
      </c>
      <c r="Q45" s="35" t="n">
        <v>19.63</v>
      </c>
      <c r="R45" s="35" t="inlineStr">
        <is>
          <t>52/270</t>
        </is>
      </c>
      <c r="S45" s="35" t="n">
        <v>19.26</v>
      </c>
      <c r="T45" s="35" t="inlineStr">
        <is>
          <t>26/27</t>
        </is>
      </c>
      <c r="U45" s="35" t="n">
        <v>96.3</v>
      </c>
      <c r="V45" s="35" t="inlineStr">
        <is>
          <t>24/27</t>
        </is>
      </c>
      <c r="W45" s="35" t="n">
        <v>88.89</v>
      </c>
      <c r="X45" s="35" t="n">
        <v>34735</v>
      </c>
      <c r="Y45" s="35" t="n">
        <v>3149</v>
      </c>
      <c r="Z45" s="35" t="n">
        <v>37884</v>
      </c>
      <c r="AA45" s="35" t="n">
        <v>2365</v>
      </c>
      <c r="AB45" s="35" t="n">
        <v>229</v>
      </c>
      <c r="AC45" s="35" t="n">
        <v>2802</v>
      </c>
      <c r="AD45" s="35" t="n">
        <v>47</v>
      </c>
      <c r="AE45" s="35" t="n">
        <v>5</v>
      </c>
      <c r="AF45" s="35" t="n">
        <v>52</v>
      </c>
      <c r="AG45" s="35" t="n">
        <v>128.65</v>
      </c>
      <c r="AH45" s="35" t="n">
        <v>11.66</v>
      </c>
      <c r="AI45" s="35" t="n">
        <v>11.66</v>
      </c>
      <c r="AJ45" s="35" t="n">
        <v>10.38</v>
      </c>
      <c r="AK45" s="35" t="n">
        <v>0.85</v>
      </c>
      <c r="AL45" s="35" t="n">
        <v>0.85</v>
      </c>
      <c r="AM45" s="35" t="n">
        <v>0.17</v>
      </c>
      <c r="AN45" s="35" t="n">
        <v>0.02</v>
      </c>
      <c r="AO45" s="35" t="n">
        <v>0.19</v>
      </c>
      <c r="AP45" s="35" t="n">
        <v>128.23</v>
      </c>
      <c r="AQ45" s="31" t="n">
        <v>141369300000</v>
      </c>
      <c r="AR45" s="31" t="n">
        <v>194250031500</v>
      </c>
      <c r="AS45" t="inlineStr">
        <is>
          <t>3/6</t>
        </is>
      </c>
      <c r="AT45" t="n">
        <v>50</v>
      </c>
      <c r="AU45" t="inlineStr">
        <is>
          <t>2/6</t>
        </is>
      </c>
      <c r="AV45" t="n">
        <v>33.33</v>
      </c>
      <c r="AW45" s="31" t="n">
        <v>3141540000</v>
      </c>
      <c r="AX45" s="31" t="n">
        <v>4902767600</v>
      </c>
      <c r="AY45" s="31" t="n">
        <v>1761227600</v>
      </c>
      <c r="AZ45" s="35" t="n">
        <v>156.06</v>
      </c>
      <c r="BA45" s="17">
        <f>HYPERLINK("https://github.com/lottpicker/daily1689/blob/main/summary-v41.txt", "Click view")</f>
        <v/>
      </c>
    </row>
    <row r="46">
      <c r="A46" s="31" t="n">
        <v>51</v>
      </c>
      <c r="B46" s="31" t="inlineStr">
        <is>
          <t>100-369</t>
        </is>
      </c>
      <c r="C46" s="31" t="inlineStr">
        <is>
          <t>270</t>
        </is>
      </c>
      <c r="D46" s="35" t="n">
        <v>137.68</v>
      </c>
      <c r="E46" s="35" t="n">
        <v>53269245700</v>
      </c>
      <c r="F46" s="35" t="n">
        <v>40738</v>
      </c>
      <c r="G46" s="35" t="n">
        <v>3399</v>
      </c>
      <c r="H46" s="35" t="inlineStr">
        <is>
          <t>72/270</t>
        </is>
      </c>
      <c r="I46" s="35" t="n">
        <v>26.67</v>
      </c>
      <c r="J46" s="35" t="inlineStr">
        <is>
          <t>193/270</t>
        </is>
      </c>
      <c r="K46" s="35" t="n">
        <v>71.48</v>
      </c>
      <c r="L46" s="35" t="inlineStr">
        <is>
          <t>100/270</t>
        </is>
      </c>
      <c r="M46" s="35" t="n">
        <v>37.04</v>
      </c>
      <c r="N46" s="35" t="inlineStr">
        <is>
          <t>63/270</t>
        </is>
      </c>
      <c r="O46" s="35" t="n">
        <v>23.33</v>
      </c>
      <c r="P46" s="35" t="inlineStr">
        <is>
          <t>55/270</t>
        </is>
      </c>
      <c r="Q46" s="35" t="n">
        <v>20.37</v>
      </c>
      <c r="R46" s="35" t="inlineStr">
        <is>
          <t>52/270</t>
        </is>
      </c>
      <c r="S46" s="35" t="n">
        <v>19.26</v>
      </c>
      <c r="T46" s="35" t="inlineStr">
        <is>
          <t>25/27</t>
        </is>
      </c>
      <c r="U46" s="35" t="n">
        <v>92.59</v>
      </c>
      <c r="V46" s="35" t="inlineStr">
        <is>
          <t>24/27</t>
        </is>
      </c>
      <c r="W46" s="35" t="n">
        <v>88.89</v>
      </c>
      <c r="X46" s="35" t="n">
        <v>34722</v>
      </c>
      <c r="Y46" s="35" t="n">
        <v>3162</v>
      </c>
      <c r="Z46" s="35" t="n">
        <v>37884</v>
      </c>
      <c r="AA46" s="35" t="n">
        <v>2363</v>
      </c>
      <c r="AB46" s="35" t="n">
        <v>231</v>
      </c>
      <c r="AC46" s="35" t="n">
        <v>2802</v>
      </c>
      <c r="AD46" s="35" t="n">
        <v>46</v>
      </c>
      <c r="AE46" s="35" t="n">
        <v>6</v>
      </c>
      <c r="AF46" s="35" t="n">
        <v>52</v>
      </c>
      <c r="AG46" s="35" t="n">
        <v>128.6</v>
      </c>
      <c r="AH46" s="35" t="n">
        <v>11.71</v>
      </c>
      <c r="AI46" s="35" t="n">
        <v>11.71</v>
      </c>
      <c r="AJ46" s="35" t="n">
        <v>10.38</v>
      </c>
      <c r="AK46" s="35" t="n">
        <v>0.86</v>
      </c>
      <c r="AL46" s="35" t="n">
        <v>0.86</v>
      </c>
      <c r="AM46" s="35" t="n">
        <v>0.17</v>
      </c>
      <c r="AN46" s="35" t="n">
        <v>0.02</v>
      </c>
      <c r="AO46" s="35" t="n">
        <v>0.19</v>
      </c>
      <c r="AP46" s="35" t="n">
        <v>128.14</v>
      </c>
      <c r="AQ46" s="31" t="n">
        <v>141369300000</v>
      </c>
      <c r="AR46" s="31" t="n">
        <v>194638545700</v>
      </c>
      <c r="AS46" t="inlineStr">
        <is>
          <t>3/6</t>
        </is>
      </c>
      <c r="AT46" t="n">
        <v>50</v>
      </c>
      <c r="AU46" t="inlineStr">
        <is>
          <t>2/6</t>
        </is>
      </c>
      <c r="AV46" t="n">
        <v>33.33</v>
      </c>
      <c r="AW46" s="31" t="n">
        <v>3141540000</v>
      </c>
      <c r="AX46" s="31" t="n">
        <v>4722592500</v>
      </c>
      <c r="AY46" s="31" t="n">
        <v>1581052500</v>
      </c>
      <c r="AZ46" s="35" t="n">
        <v>150.33</v>
      </c>
      <c r="BA46" s="17">
        <f>HYPERLINK("https://github.com/lottpicker/daily1689/blob/main/summary-v51.txt", "Click view")</f>
        <v/>
      </c>
    </row>
    <row r="47">
      <c r="A47" s="31" t="n">
        <v>11</v>
      </c>
      <c r="B47" s="31" t="inlineStr">
        <is>
          <t>100-369</t>
        </is>
      </c>
      <c r="C47" s="31" t="inlineStr">
        <is>
          <t>270</t>
        </is>
      </c>
      <c r="D47" s="35" t="n">
        <v>117.62</v>
      </c>
      <c r="E47" s="35" t="n">
        <v>24906867400</v>
      </c>
      <c r="F47" s="35" t="n">
        <v>40645</v>
      </c>
      <c r="G47" s="35" t="n">
        <v>3337</v>
      </c>
      <c r="H47" s="35" t="inlineStr">
        <is>
          <t>100/270</t>
        </is>
      </c>
      <c r="I47" s="35" t="n">
        <v>37.04</v>
      </c>
      <c r="J47" s="35" t="inlineStr">
        <is>
          <t>168/270</t>
        </is>
      </c>
      <c r="K47" s="35" t="n">
        <v>62.22</v>
      </c>
      <c r="L47" s="35" t="inlineStr">
        <is>
          <t>72/270</t>
        </is>
      </c>
      <c r="M47" s="35" t="n">
        <v>26.67</v>
      </c>
      <c r="N47" s="35" t="inlineStr">
        <is>
          <t>41/270</t>
        </is>
      </c>
      <c r="O47" s="35" t="n">
        <v>15.19</v>
      </c>
      <c r="P47" s="35" t="inlineStr">
        <is>
          <t>35/270</t>
        </is>
      </c>
      <c r="Q47" s="35" t="n">
        <v>12.96</v>
      </c>
      <c r="R47" s="35" t="inlineStr">
        <is>
          <t>34/270</t>
        </is>
      </c>
      <c r="S47" s="35" t="n">
        <v>12.59</v>
      </c>
      <c r="T47" s="35" t="inlineStr">
        <is>
          <t>24/27</t>
        </is>
      </c>
      <c r="U47" s="35" t="n">
        <v>88.89</v>
      </c>
      <c r="V47" s="35" t="inlineStr">
        <is>
          <t>21/27</t>
        </is>
      </c>
      <c r="W47" s="35" t="n">
        <v>77.78</v>
      </c>
      <c r="X47" s="35" t="n">
        <v>34677</v>
      </c>
      <c r="Y47" s="35" t="n">
        <v>3139</v>
      </c>
      <c r="Z47" s="35" t="n">
        <v>37816</v>
      </c>
      <c r="AA47" s="35" t="n">
        <v>2461</v>
      </c>
      <c r="AB47" s="35" t="n">
        <v>198</v>
      </c>
      <c r="AC47" s="35" t="n">
        <v>2795</v>
      </c>
      <c r="AD47" s="35" t="n">
        <v>34</v>
      </c>
      <c r="AE47" s="35" t="n">
        <v>0</v>
      </c>
      <c r="AF47" s="35" t="n">
        <v>34</v>
      </c>
      <c r="AG47" s="35" t="n">
        <v>128.43</v>
      </c>
      <c r="AH47" s="35" t="n">
        <v>11.63</v>
      </c>
      <c r="AI47" s="35" t="n">
        <v>11.63</v>
      </c>
      <c r="AJ47" s="35" t="n">
        <v>10.35</v>
      </c>
      <c r="AK47" s="35" t="n">
        <v>0.73</v>
      </c>
      <c r="AL47" s="35" t="n">
        <v>0.73</v>
      </c>
      <c r="AM47" s="35" t="n">
        <v>0.13</v>
      </c>
      <c r="AN47" s="35" t="n">
        <v>0</v>
      </c>
      <c r="AO47" s="35" t="n">
        <v>0.13</v>
      </c>
      <c r="AP47" s="35" t="n">
        <v>128.39</v>
      </c>
      <c r="AQ47" s="31" t="n">
        <v>141369300000</v>
      </c>
      <c r="AR47" s="31" t="n">
        <v>166276167400</v>
      </c>
      <c r="AS47" t="inlineStr">
        <is>
          <t>3/6</t>
        </is>
      </c>
      <c r="AT47" t="n">
        <v>50</v>
      </c>
      <c r="AW47" s="31" t="n">
        <v>3141540000</v>
      </c>
      <c r="AX47" s="31" t="n">
        <v>3941505800</v>
      </c>
      <c r="AY47" s="31" t="n">
        <v>799965800</v>
      </c>
      <c r="AZ47" s="35" t="n">
        <v>125.46</v>
      </c>
      <c r="BA47" s="17">
        <f>HYPERLINK("https://github.com/lottpicker/daily1689/blob/main/summary-v11.txt", "Click view")</f>
        <v/>
      </c>
    </row>
    <row r="48">
      <c r="A48" s="31" t="n">
        <v>14</v>
      </c>
      <c r="B48" s="31" t="inlineStr">
        <is>
          <t>100-369</t>
        </is>
      </c>
      <c r="C48" s="31" t="inlineStr">
        <is>
          <t>270</t>
        </is>
      </c>
      <c r="D48" s="35" t="n">
        <v>130.44</v>
      </c>
      <c r="E48" s="35" t="n">
        <v>43026460900</v>
      </c>
      <c r="F48" s="35" t="n">
        <v>40707</v>
      </c>
      <c r="G48" s="35" t="n">
        <v>3470</v>
      </c>
      <c r="H48" s="35" t="inlineStr">
        <is>
          <t>93/270</t>
        </is>
      </c>
      <c r="I48" s="35" t="n">
        <v>34.44</v>
      </c>
      <c r="J48" s="35" t="inlineStr">
        <is>
          <t>170/270</t>
        </is>
      </c>
      <c r="K48" s="35" t="n">
        <v>62.96</v>
      </c>
      <c r="L48" s="35" t="inlineStr">
        <is>
          <t>95/270</t>
        </is>
      </c>
      <c r="M48" s="35" t="n">
        <v>35.19</v>
      </c>
      <c r="N48" s="35" t="inlineStr">
        <is>
          <t>57/270</t>
        </is>
      </c>
      <c r="O48" s="35" t="n">
        <v>21.11</v>
      </c>
      <c r="P48" s="35" t="inlineStr">
        <is>
          <t>50/270</t>
        </is>
      </c>
      <c r="Q48" s="35" t="n">
        <v>18.52</v>
      </c>
      <c r="R48" s="35" t="inlineStr">
        <is>
          <t>45/270</t>
        </is>
      </c>
      <c r="S48" s="35" t="n">
        <v>16.67</v>
      </c>
      <c r="T48" s="35" t="inlineStr">
        <is>
          <t>26/27</t>
        </is>
      </c>
      <c r="U48" s="35" t="n">
        <v>96.3</v>
      </c>
      <c r="V48" s="35" t="inlineStr">
        <is>
          <t>23/27</t>
        </is>
      </c>
      <c r="W48" s="35" t="n">
        <v>85.19</v>
      </c>
      <c r="X48" s="35" t="n">
        <v>34638</v>
      </c>
      <c r="Y48" s="35" t="n">
        <v>3239</v>
      </c>
      <c r="Z48" s="35" t="n">
        <v>37877</v>
      </c>
      <c r="AA48" s="35" t="n">
        <v>2381</v>
      </c>
      <c r="AB48" s="35" t="n">
        <v>229</v>
      </c>
      <c r="AC48" s="35" t="n">
        <v>2786</v>
      </c>
      <c r="AD48" s="35" t="n">
        <v>42</v>
      </c>
      <c r="AE48" s="35" t="n">
        <v>2</v>
      </c>
      <c r="AF48" s="35" t="n">
        <v>44</v>
      </c>
      <c r="AG48" s="35" t="n">
        <v>128.29</v>
      </c>
      <c r="AH48" s="35" t="n">
        <v>12</v>
      </c>
      <c r="AI48" s="35" t="n">
        <v>12</v>
      </c>
      <c r="AJ48" s="35" t="n">
        <v>10.32</v>
      </c>
      <c r="AK48" s="35" t="n">
        <v>0.85</v>
      </c>
      <c r="AL48" s="35" t="n">
        <v>0.85</v>
      </c>
      <c r="AM48" s="35" t="n">
        <v>0.16</v>
      </c>
      <c r="AN48" s="35" t="n">
        <v>0.01</v>
      </c>
      <c r="AO48" s="35" t="n">
        <v>0.16</v>
      </c>
      <c r="AP48" s="35" t="n">
        <v>127.9</v>
      </c>
      <c r="AQ48" s="31" t="n">
        <v>141369300000</v>
      </c>
      <c r="AR48" s="31" t="n">
        <v>184395760900</v>
      </c>
      <c r="AS48" t="inlineStr">
        <is>
          <t>3/6</t>
        </is>
      </c>
      <c r="AT48" t="n">
        <v>50</v>
      </c>
      <c r="AW48" s="31" t="n">
        <v>3141540000</v>
      </c>
      <c r="AX48" s="31" t="n">
        <v>3136735100</v>
      </c>
      <c r="AY48" s="31" t="n">
        <v>-4804900</v>
      </c>
      <c r="AZ48" s="35" t="n">
        <v>99.84999999999999</v>
      </c>
      <c r="BA48" s="17">
        <f>HYPERLINK("https://github.com/lottpicker/daily1689/blob/main/summary-v14.txt", "Click view")</f>
        <v/>
      </c>
    </row>
    <row r="49">
      <c r="A49" s="31" t="n">
        <v>21</v>
      </c>
      <c r="B49" s="31" t="inlineStr">
        <is>
          <t>100-369</t>
        </is>
      </c>
      <c r="C49" s="31" t="inlineStr">
        <is>
          <t>270</t>
        </is>
      </c>
      <c r="D49" s="35" t="n">
        <v>119.58</v>
      </c>
      <c r="E49" s="35" t="n">
        <v>27678827000</v>
      </c>
      <c r="F49" s="35" t="n">
        <v>40686</v>
      </c>
      <c r="G49" s="35" t="n">
        <v>3412</v>
      </c>
      <c r="H49" s="35" t="inlineStr">
        <is>
          <t>112/270</t>
        </is>
      </c>
      <c r="I49" s="35" t="n">
        <v>41.48</v>
      </c>
      <c r="J49" s="35" t="inlineStr">
        <is>
          <t>157/270</t>
        </is>
      </c>
      <c r="K49" s="35" t="n">
        <v>58.15</v>
      </c>
      <c r="L49" s="35" t="inlineStr">
        <is>
          <t>79/270</t>
        </is>
      </c>
      <c r="M49" s="35" t="n">
        <v>29.26</v>
      </c>
      <c r="N49" s="35" t="inlineStr">
        <is>
          <t>45/270</t>
        </is>
      </c>
      <c r="O49" s="35" t="n">
        <v>16.67</v>
      </c>
      <c r="P49" s="35" t="inlineStr">
        <is>
          <t>38/270</t>
        </is>
      </c>
      <c r="Q49" s="35" t="n">
        <v>14.07</v>
      </c>
      <c r="R49" s="35" t="inlineStr">
        <is>
          <t>36/270</t>
        </is>
      </c>
      <c r="S49" s="35" t="n">
        <v>13.33</v>
      </c>
      <c r="T49" s="35" t="inlineStr">
        <is>
          <t>22/27</t>
        </is>
      </c>
      <c r="U49" s="35" t="n">
        <v>81.48</v>
      </c>
      <c r="V49" s="35" t="inlineStr">
        <is>
          <t>18/27</t>
        </is>
      </c>
      <c r="W49" s="35" t="n">
        <v>66.67</v>
      </c>
      <c r="X49" s="35" t="n">
        <v>34659</v>
      </c>
      <c r="Y49" s="35" t="n">
        <v>3209</v>
      </c>
      <c r="Z49" s="35" t="n">
        <v>37868</v>
      </c>
      <c r="AA49" s="35" t="n">
        <v>2440</v>
      </c>
      <c r="AB49" s="35" t="n">
        <v>198</v>
      </c>
      <c r="AC49" s="35" t="n">
        <v>2782</v>
      </c>
      <c r="AD49" s="35" t="n">
        <v>31</v>
      </c>
      <c r="AE49" s="35" t="n">
        <v>5</v>
      </c>
      <c r="AF49" s="35" t="n">
        <v>36</v>
      </c>
      <c r="AG49" s="35" t="n">
        <v>128.37</v>
      </c>
      <c r="AH49" s="35" t="n">
        <v>11.89</v>
      </c>
      <c r="AI49" s="35" t="n">
        <v>11.89</v>
      </c>
      <c r="AJ49" s="35" t="n">
        <v>10.3</v>
      </c>
      <c r="AK49" s="35" t="n">
        <v>0.73</v>
      </c>
      <c r="AL49" s="35" t="n">
        <v>0.73</v>
      </c>
      <c r="AM49" s="35" t="n">
        <v>0.11</v>
      </c>
      <c r="AN49" s="35" t="n">
        <v>0.02</v>
      </c>
      <c r="AO49" s="35" t="n">
        <v>0.13</v>
      </c>
      <c r="AP49" s="35" t="n">
        <v>128.11</v>
      </c>
      <c r="AQ49" s="31" t="n">
        <v>141369300000</v>
      </c>
      <c r="AR49" s="31" t="n">
        <v>169048127000</v>
      </c>
      <c r="AS49" t="inlineStr">
        <is>
          <t>3/6</t>
        </is>
      </c>
      <c r="AT49" t="n">
        <v>50</v>
      </c>
      <c r="AW49" s="31" t="n">
        <v>3141540000</v>
      </c>
      <c r="AX49" s="31" t="n">
        <v>3782264100</v>
      </c>
      <c r="AY49" s="31" t="n">
        <v>640724100</v>
      </c>
      <c r="AZ49" s="35" t="n">
        <v>120.4</v>
      </c>
      <c r="BA49" s="17">
        <f>HYPERLINK("https://github.com/lottpicker/daily1689/blob/main/summary-v21.txt", "Click view")</f>
        <v/>
      </c>
    </row>
    <row r="50">
      <c r="A50" s="31" t="n">
        <v>22</v>
      </c>
      <c r="B50" s="31" t="inlineStr">
        <is>
          <t>100-369</t>
        </is>
      </c>
      <c r="C50" s="31" t="inlineStr">
        <is>
          <t>270</t>
        </is>
      </c>
      <c r="D50" s="35" t="n">
        <v>124.24</v>
      </c>
      <c r="E50" s="35" t="n">
        <v>34261464900</v>
      </c>
      <c r="F50" s="35" t="n">
        <v>40635</v>
      </c>
      <c r="G50" s="35" t="n">
        <v>3414</v>
      </c>
      <c r="H50" s="35" t="inlineStr">
        <is>
          <t>96/270</t>
        </is>
      </c>
      <c r="I50" s="35" t="n">
        <v>35.56</v>
      </c>
      <c r="J50" s="35" t="inlineStr">
        <is>
          <t>171/270</t>
        </is>
      </c>
      <c r="K50" s="35" t="n">
        <v>63.33</v>
      </c>
      <c r="L50" s="35" t="inlineStr">
        <is>
          <t>87/270</t>
        </is>
      </c>
      <c r="M50" s="35" t="n">
        <v>32.22</v>
      </c>
      <c r="N50" s="35" t="inlineStr">
        <is>
          <t>54/270</t>
        </is>
      </c>
      <c r="O50" s="35" t="n">
        <v>20</v>
      </c>
      <c r="P50" s="35" t="inlineStr">
        <is>
          <t>42/270</t>
        </is>
      </c>
      <c r="Q50" s="35" t="n">
        <v>15.56</v>
      </c>
      <c r="R50" s="35" t="inlineStr">
        <is>
          <t>39/270</t>
        </is>
      </c>
      <c r="S50" s="35" t="n">
        <v>14.44</v>
      </c>
      <c r="T50" s="35" t="inlineStr">
        <is>
          <t>22/27</t>
        </is>
      </c>
      <c r="U50" s="35" t="n">
        <v>81.48</v>
      </c>
      <c r="V50" s="35" t="inlineStr">
        <is>
          <t>19/27</t>
        </is>
      </c>
      <c r="W50" s="35" t="n">
        <v>70.37</v>
      </c>
      <c r="X50" s="35" t="n">
        <v>34581</v>
      </c>
      <c r="Y50" s="35" t="n">
        <v>3200</v>
      </c>
      <c r="Z50" s="35" t="n">
        <v>37781</v>
      </c>
      <c r="AA50" s="35" t="n">
        <v>2446</v>
      </c>
      <c r="AB50" s="35" t="n">
        <v>213</v>
      </c>
      <c r="AC50" s="35" t="n">
        <v>2815</v>
      </c>
      <c r="AD50" s="35" t="n">
        <v>38</v>
      </c>
      <c r="AE50" s="35" t="n">
        <v>1</v>
      </c>
      <c r="AF50" s="35" t="n">
        <v>39</v>
      </c>
      <c r="AG50" s="35" t="n">
        <v>128.08</v>
      </c>
      <c r="AH50" s="35" t="n">
        <v>11.85</v>
      </c>
      <c r="AI50" s="35" t="n">
        <v>11.85</v>
      </c>
      <c r="AJ50" s="35" t="n">
        <v>10.43</v>
      </c>
      <c r="AK50" s="35" t="n">
        <v>0.79</v>
      </c>
      <c r="AL50" s="35" t="n">
        <v>0.79</v>
      </c>
      <c r="AM50" s="35" t="n">
        <v>0.14</v>
      </c>
      <c r="AN50" s="35" t="n">
        <v>0</v>
      </c>
      <c r="AO50" s="35" t="n">
        <v>0.14</v>
      </c>
      <c r="AP50" s="35" t="n">
        <v>128.1</v>
      </c>
      <c r="AQ50" s="31" t="n">
        <v>141369300000</v>
      </c>
      <c r="AR50" s="31" t="n">
        <v>175630764900</v>
      </c>
      <c r="AS50" t="inlineStr">
        <is>
          <t>3/6</t>
        </is>
      </c>
      <c r="AT50" t="n">
        <v>50</v>
      </c>
      <c r="AW50" s="31" t="n">
        <v>3141540000</v>
      </c>
      <c r="AX50" s="31" t="n">
        <v>2665961000</v>
      </c>
      <c r="AY50" s="31" t="n">
        <v>-475579000</v>
      </c>
      <c r="AZ50" s="35" t="n">
        <v>84.86</v>
      </c>
      <c r="BA50" s="17">
        <f>HYPERLINK("https://github.com/lottpicker/daily1689/blob/main/summary-v22.txt", "Click view")</f>
        <v/>
      </c>
    </row>
    <row r="51">
      <c r="A51" s="31" t="n">
        <v>26</v>
      </c>
      <c r="B51" s="31" t="inlineStr">
        <is>
          <t>100-369</t>
        </is>
      </c>
      <c r="C51" s="31" t="inlineStr">
        <is>
          <t>270</t>
        </is>
      </c>
      <c r="D51" s="35" t="n">
        <v>133.04</v>
      </c>
      <c r="E51" s="35" t="n">
        <v>46705171100</v>
      </c>
      <c r="F51" s="35" t="n">
        <v>40727</v>
      </c>
      <c r="G51" s="35" t="n">
        <v>3298</v>
      </c>
      <c r="H51" s="35" t="inlineStr">
        <is>
          <t>95/270</t>
        </is>
      </c>
      <c r="I51" s="35" t="n">
        <v>35.19</v>
      </c>
      <c r="J51" s="35" t="inlineStr">
        <is>
          <t>166/270</t>
        </is>
      </c>
      <c r="K51" s="35" t="n">
        <v>61.48</v>
      </c>
      <c r="L51" s="35" t="inlineStr">
        <is>
          <t>94/270</t>
        </is>
      </c>
      <c r="M51" s="35" t="n">
        <v>34.81</v>
      </c>
      <c r="N51" s="35" t="inlineStr">
        <is>
          <t>64/270</t>
        </is>
      </c>
      <c r="O51" s="35" t="n">
        <v>23.7</v>
      </c>
      <c r="P51" s="35" t="inlineStr">
        <is>
          <t>53/270</t>
        </is>
      </c>
      <c r="Q51" s="35" t="n">
        <v>19.63</v>
      </c>
      <c r="R51" s="35" t="inlineStr">
        <is>
          <t>48/270</t>
        </is>
      </c>
      <c r="S51" s="35" t="n">
        <v>17.78</v>
      </c>
      <c r="T51" s="35" t="inlineStr">
        <is>
          <t>26/27</t>
        </is>
      </c>
      <c r="U51" s="35" t="n">
        <v>96.3</v>
      </c>
      <c r="V51" s="35" t="inlineStr">
        <is>
          <t>23/27</t>
        </is>
      </c>
      <c r="W51" s="35" t="n">
        <v>85.19</v>
      </c>
      <c r="X51" s="35" t="n">
        <v>34807</v>
      </c>
      <c r="Y51" s="35" t="n">
        <v>3071</v>
      </c>
      <c r="Z51" s="35" t="n">
        <v>37878</v>
      </c>
      <c r="AA51" s="35" t="n">
        <v>2384</v>
      </c>
      <c r="AB51" s="35" t="n">
        <v>225</v>
      </c>
      <c r="AC51" s="35" t="n">
        <v>2801</v>
      </c>
      <c r="AD51" s="35" t="n">
        <v>46</v>
      </c>
      <c r="AE51" s="35" t="n">
        <v>2</v>
      </c>
      <c r="AF51" s="35" t="n">
        <v>48</v>
      </c>
      <c r="AG51" s="35" t="n">
        <v>128.91</v>
      </c>
      <c r="AH51" s="35" t="n">
        <v>11.37</v>
      </c>
      <c r="AI51" s="35" t="n">
        <v>11.37</v>
      </c>
      <c r="AJ51" s="35" t="n">
        <v>10.37</v>
      </c>
      <c r="AK51" s="35" t="n">
        <v>0.83</v>
      </c>
      <c r="AL51" s="35" t="n">
        <v>0.83</v>
      </c>
      <c r="AM51" s="35" t="n">
        <v>0.17</v>
      </c>
      <c r="AN51" s="35" t="n">
        <v>0.01</v>
      </c>
      <c r="AO51" s="35" t="n">
        <v>0.18</v>
      </c>
      <c r="AP51" s="35" t="n">
        <v>128.53</v>
      </c>
      <c r="AQ51" s="31" t="n">
        <v>141369300000</v>
      </c>
      <c r="AR51" s="31" t="n">
        <v>188074471100</v>
      </c>
      <c r="AS51" t="inlineStr">
        <is>
          <t>3/6</t>
        </is>
      </c>
      <c r="AT51" t="n">
        <v>50</v>
      </c>
      <c r="AW51" s="31" t="n">
        <v>3141540000</v>
      </c>
      <c r="AX51" s="31" t="n">
        <v>5212071800</v>
      </c>
      <c r="AY51" s="31" t="n">
        <v>2070531800</v>
      </c>
      <c r="AZ51" s="35" t="n">
        <v>165.91</v>
      </c>
      <c r="BA51" s="17">
        <f>HYPERLINK("https://github.com/lottpicker/daily1689/blob/main/summary-v26.txt", "Click view")</f>
        <v/>
      </c>
    </row>
    <row r="52">
      <c r="A52" s="31" t="n">
        <v>27</v>
      </c>
      <c r="B52" s="31" t="inlineStr">
        <is>
          <t>100-369</t>
        </is>
      </c>
      <c r="C52" s="31" t="inlineStr">
        <is>
          <t>270</t>
        </is>
      </c>
      <c r="D52" s="35" t="n">
        <v>134.14</v>
      </c>
      <c r="E52" s="35" t="n">
        <v>48261703300</v>
      </c>
      <c r="F52" s="35" t="n">
        <v>40740</v>
      </c>
      <c r="G52" s="35" t="n">
        <v>3322</v>
      </c>
      <c r="H52" s="35" t="inlineStr">
        <is>
          <t>91/270</t>
        </is>
      </c>
      <c r="I52" s="35" t="n">
        <v>33.7</v>
      </c>
      <c r="J52" s="35" t="inlineStr">
        <is>
          <t>170/270</t>
        </is>
      </c>
      <c r="K52" s="35" t="n">
        <v>62.96</v>
      </c>
      <c r="L52" s="35" t="inlineStr">
        <is>
          <t>90/270</t>
        </is>
      </c>
      <c r="M52" s="35" t="n">
        <v>33.33</v>
      </c>
      <c r="N52" s="35" t="inlineStr">
        <is>
          <t>66/270</t>
        </is>
      </c>
      <c r="O52" s="35" t="n">
        <v>24.44</v>
      </c>
      <c r="P52" s="35" t="inlineStr">
        <is>
          <t>54/270</t>
        </is>
      </c>
      <c r="Q52" s="35" t="n">
        <v>20</v>
      </c>
      <c r="R52" s="35" t="inlineStr">
        <is>
          <t>51/270</t>
        </is>
      </c>
      <c r="S52" s="35" t="n">
        <v>18.89</v>
      </c>
      <c r="T52" s="35" t="inlineStr">
        <is>
          <t>27/27</t>
        </is>
      </c>
      <c r="U52" s="35" t="n">
        <v>100</v>
      </c>
      <c r="V52" s="35" t="inlineStr">
        <is>
          <t>27/27</t>
        </is>
      </c>
      <c r="W52" s="35" t="n">
        <v>100</v>
      </c>
      <c r="X52" s="35" t="n">
        <v>34772</v>
      </c>
      <c r="Y52" s="35" t="n">
        <v>3112</v>
      </c>
      <c r="Z52" s="35" t="n">
        <v>37884</v>
      </c>
      <c r="AA52" s="35" t="n">
        <v>2392</v>
      </c>
      <c r="AB52" s="35" t="n">
        <v>209</v>
      </c>
      <c r="AC52" s="35" t="n">
        <v>2805</v>
      </c>
      <c r="AD52" s="35" t="n">
        <v>50</v>
      </c>
      <c r="AE52" s="35" t="n">
        <v>1</v>
      </c>
      <c r="AF52" s="35" t="n">
        <v>51</v>
      </c>
      <c r="AG52" s="35" t="n">
        <v>128.79</v>
      </c>
      <c r="AH52" s="35" t="n">
        <v>11.53</v>
      </c>
      <c r="AI52" s="35" t="n">
        <v>11.53</v>
      </c>
      <c r="AJ52" s="35" t="n">
        <v>10.39</v>
      </c>
      <c r="AK52" s="35" t="n">
        <v>0.77</v>
      </c>
      <c r="AL52" s="35" t="n">
        <v>0.77</v>
      </c>
      <c r="AM52" s="35" t="n">
        <v>0.19</v>
      </c>
      <c r="AN52" s="35" t="n">
        <v>0</v>
      </c>
      <c r="AO52" s="35" t="n">
        <v>0.19</v>
      </c>
      <c r="AP52" s="35" t="n">
        <v>128.44</v>
      </c>
      <c r="AQ52" s="31" t="n">
        <v>141369300000</v>
      </c>
      <c r="AR52" s="31" t="n">
        <v>189631003300</v>
      </c>
      <c r="AS52" t="inlineStr">
        <is>
          <t>3/6</t>
        </is>
      </c>
      <c r="AT52" t="n">
        <v>50</v>
      </c>
      <c r="AW52" s="31" t="n">
        <v>3141540000</v>
      </c>
      <c r="AX52" s="31" t="n">
        <v>3768141300</v>
      </c>
      <c r="AY52" s="31" t="n">
        <v>626601300</v>
      </c>
      <c r="AZ52" s="35" t="n">
        <v>119.95</v>
      </c>
      <c r="BA52" s="17">
        <f>HYPERLINK("https://github.com/lottpicker/daily1689/blob/main/summary-v27.txt", "Click view")</f>
        <v/>
      </c>
    </row>
    <row r="53">
      <c r="A53" s="31" t="n">
        <v>29</v>
      </c>
      <c r="B53" s="31" t="inlineStr">
        <is>
          <t>100-369</t>
        </is>
      </c>
      <c r="C53" s="31" t="inlineStr">
        <is>
          <t>270</t>
        </is>
      </c>
      <c r="D53" s="35" t="n">
        <v>126.94</v>
      </c>
      <c r="E53" s="35" t="n">
        <v>38080818300</v>
      </c>
      <c r="F53" s="35" t="n">
        <v>40684</v>
      </c>
      <c r="G53" s="35" t="n">
        <v>3338</v>
      </c>
      <c r="H53" s="35" t="inlineStr">
        <is>
          <t>88/270</t>
        </is>
      </c>
      <c r="I53" s="35" t="n">
        <v>32.59</v>
      </c>
      <c r="J53" s="35" t="inlineStr">
        <is>
          <t>175/270</t>
        </is>
      </c>
      <c r="K53" s="35" t="n">
        <v>64.81</v>
      </c>
      <c r="L53" s="35" t="inlineStr">
        <is>
          <t>89/270</t>
        </is>
      </c>
      <c r="M53" s="35" t="n">
        <v>32.96</v>
      </c>
      <c r="N53" s="35" t="inlineStr">
        <is>
          <t>54/270</t>
        </is>
      </c>
      <c r="O53" s="35" t="n">
        <v>20</v>
      </c>
      <c r="P53" s="35" t="inlineStr">
        <is>
          <t>44/270</t>
        </is>
      </c>
      <c r="Q53" s="35" t="n">
        <v>16.3</v>
      </c>
      <c r="R53" s="35" t="inlineStr">
        <is>
          <t>41/270</t>
        </is>
      </c>
      <c r="S53" s="35" t="n">
        <v>15.19</v>
      </c>
      <c r="T53" s="35" t="inlineStr">
        <is>
          <t>24/27</t>
        </is>
      </c>
      <c r="U53" s="35" t="n">
        <v>88.89</v>
      </c>
      <c r="V53" s="35" t="inlineStr">
        <is>
          <t>21/27</t>
        </is>
      </c>
      <c r="W53" s="35" t="n">
        <v>77.78</v>
      </c>
      <c r="X53" s="35" t="n">
        <v>34728</v>
      </c>
      <c r="Y53" s="35" t="n">
        <v>3109</v>
      </c>
      <c r="Z53" s="35" t="n">
        <v>37837</v>
      </c>
      <c r="AA53" s="35" t="n">
        <v>2417</v>
      </c>
      <c r="AB53" s="35" t="n">
        <v>225</v>
      </c>
      <c r="AC53" s="35" t="n">
        <v>2806</v>
      </c>
      <c r="AD53" s="35" t="n">
        <v>37</v>
      </c>
      <c r="AE53" s="35" t="n">
        <v>4</v>
      </c>
      <c r="AF53" s="35" t="n">
        <v>41</v>
      </c>
      <c r="AG53" s="35" t="n">
        <v>128.62</v>
      </c>
      <c r="AH53" s="35" t="n">
        <v>11.51</v>
      </c>
      <c r="AI53" s="35" t="n">
        <v>11.51</v>
      </c>
      <c r="AJ53" s="35" t="n">
        <v>10.39</v>
      </c>
      <c r="AK53" s="35" t="n">
        <v>0.83</v>
      </c>
      <c r="AL53" s="35" t="n">
        <v>0.83</v>
      </c>
      <c r="AM53" s="35" t="n">
        <v>0.14</v>
      </c>
      <c r="AN53" s="35" t="n">
        <v>0.01</v>
      </c>
      <c r="AO53" s="35" t="n">
        <v>0.15</v>
      </c>
      <c r="AP53" s="35" t="n">
        <v>128.39</v>
      </c>
      <c r="AQ53" s="31" t="n">
        <v>141369300000</v>
      </c>
      <c r="AR53" s="31" t="n">
        <v>179450118300</v>
      </c>
      <c r="AS53" t="inlineStr">
        <is>
          <t>3/6</t>
        </is>
      </c>
      <c r="AT53" t="n">
        <v>50</v>
      </c>
      <c r="AW53" s="31" t="n">
        <v>3141540000</v>
      </c>
      <c r="AX53" s="31" t="n">
        <v>2559415500</v>
      </c>
      <c r="AY53" s="31" t="n">
        <v>-582124500</v>
      </c>
      <c r="AZ53" s="35" t="n">
        <v>81.47</v>
      </c>
      <c r="BA53" s="17">
        <f>HYPERLINK("https://github.com/lottpicker/daily1689/blob/main/summary-v29.txt", "Click view")</f>
        <v/>
      </c>
    </row>
    <row r="54">
      <c r="A54" s="31" t="n">
        <v>37</v>
      </c>
      <c r="B54" s="31" t="inlineStr">
        <is>
          <t>100-369</t>
        </is>
      </c>
      <c r="C54" s="31" t="inlineStr">
        <is>
          <t>270</t>
        </is>
      </c>
      <c r="D54" s="35" t="n">
        <v>124.87</v>
      </c>
      <c r="E54" s="35" t="n">
        <v>35183862900</v>
      </c>
      <c r="F54" s="35" t="n">
        <v>40718</v>
      </c>
      <c r="G54" s="35" t="n">
        <v>3381</v>
      </c>
      <c r="H54" s="35" t="inlineStr">
        <is>
          <t>100/270</t>
        </is>
      </c>
      <c r="I54" s="35" t="n">
        <v>37.04</v>
      </c>
      <c r="J54" s="35" t="inlineStr">
        <is>
          <t>169/270</t>
        </is>
      </c>
      <c r="K54" s="35" t="n">
        <v>62.59</v>
      </c>
      <c r="L54" s="35" t="inlineStr">
        <is>
          <t>89/270</t>
        </is>
      </c>
      <c r="M54" s="35" t="n">
        <v>32.96</v>
      </c>
      <c r="N54" s="35" t="inlineStr">
        <is>
          <t>48/270</t>
        </is>
      </c>
      <c r="O54" s="35" t="n">
        <v>17.78</v>
      </c>
      <c r="P54" s="35" t="inlineStr">
        <is>
          <t>42/270</t>
        </is>
      </c>
      <c r="Q54" s="35" t="n">
        <v>15.56</v>
      </c>
      <c r="R54" s="35" t="inlineStr">
        <is>
          <t>41/270</t>
        </is>
      </c>
      <c r="S54" s="35" t="n">
        <v>15.19</v>
      </c>
      <c r="T54" s="35" t="inlineStr">
        <is>
          <t>24/27</t>
        </is>
      </c>
      <c r="U54" s="35" t="n">
        <v>88.89</v>
      </c>
      <c r="V54" s="35" t="inlineStr">
        <is>
          <t>21/27</t>
        </is>
      </c>
      <c r="W54" s="35" t="n">
        <v>77.78</v>
      </c>
      <c r="X54" s="35" t="n">
        <v>34731</v>
      </c>
      <c r="Y54" s="35" t="n">
        <v>3161</v>
      </c>
      <c r="Z54" s="35" t="n">
        <v>37892</v>
      </c>
      <c r="AA54" s="35" t="n">
        <v>2411</v>
      </c>
      <c r="AB54" s="35" t="n">
        <v>215</v>
      </c>
      <c r="AC54" s="35" t="n">
        <v>2786</v>
      </c>
      <c r="AD54" s="35" t="n">
        <v>35</v>
      </c>
      <c r="AE54" s="35" t="n">
        <v>5</v>
      </c>
      <c r="AF54" s="35" t="n">
        <v>40</v>
      </c>
      <c r="AG54" s="35" t="n">
        <v>128.63</v>
      </c>
      <c r="AH54" s="35" t="n">
        <v>11.71</v>
      </c>
      <c r="AI54" s="35" t="n">
        <v>11.71</v>
      </c>
      <c r="AJ54" s="35" t="n">
        <v>10.32</v>
      </c>
      <c r="AK54" s="35" t="n">
        <v>0.8</v>
      </c>
      <c r="AL54" s="35" t="n">
        <v>0.8</v>
      </c>
      <c r="AM54" s="35" t="n">
        <v>0.13</v>
      </c>
      <c r="AN54" s="35" t="n">
        <v>0.02</v>
      </c>
      <c r="AO54" s="35" t="n">
        <v>0.15</v>
      </c>
      <c r="AP54" s="35" t="n">
        <v>128.3</v>
      </c>
      <c r="AQ54" s="31" t="n">
        <v>141453000000</v>
      </c>
      <c r="AR54" s="31" t="n">
        <v>176636862900</v>
      </c>
      <c r="AS54" t="inlineStr">
        <is>
          <t>3/6</t>
        </is>
      </c>
      <c r="AT54" t="n">
        <v>50</v>
      </c>
      <c r="AW54" s="31" t="n">
        <v>3143400000</v>
      </c>
      <c r="AX54" s="31" t="n">
        <v>3948851000</v>
      </c>
      <c r="AY54" s="31" t="n">
        <v>805451000</v>
      </c>
      <c r="AZ54" s="35" t="n">
        <v>125.62</v>
      </c>
      <c r="BA54" s="17">
        <f>HYPERLINK("https://github.com/lottpicker/daily1689/blob/main/summary-v37.txt", "Click view")</f>
        <v/>
      </c>
    </row>
    <row r="55">
      <c r="A55" s="31" t="n">
        <v>56</v>
      </c>
      <c r="B55" s="31" t="inlineStr">
        <is>
          <t>100-369</t>
        </is>
      </c>
      <c r="C55" s="31" t="inlineStr">
        <is>
          <t>270</t>
        </is>
      </c>
      <c r="D55" s="35" t="n">
        <v>128.97</v>
      </c>
      <c r="E55" s="35" t="n">
        <v>40960367800</v>
      </c>
      <c r="F55" s="35" t="n">
        <v>40709</v>
      </c>
      <c r="G55" s="35" t="n">
        <v>3420</v>
      </c>
      <c r="H55" s="35" t="inlineStr">
        <is>
          <t>93/270</t>
        </is>
      </c>
      <c r="I55" s="35" t="n">
        <v>34.44</v>
      </c>
      <c r="J55" s="35" t="inlineStr">
        <is>
          <t>171/270</t>
        </is>
      </c>
      <c r="K55" s="35" t="n">
        <v>63.33</v>
      </c>
      <c r="L55" s="35" t="inlineStr">
        <is>
          <t>91/270</t>
        </is>
      </c>
      <c r="M55" s="35" t="n">
        <v>33.7</v>
      </c>
      <c r="N55" s="35" t="inlineStr">
        <is>
          <t>51/270</t>
        </is>
      </c>
      <c r="O55" s="35" t="n">
        <v>18.89</v>
      </c>
      <c r="P55" s="35" t="inlineStr">
        <is>
          <t>46/270</t>
        </is>
      </c>
      <c r="Q55" s="35" t="n">
        <v>17.04</v>
      </c>
      <c r="R55" s="35" t="inlineStr">
        <is>
          <t>43/270</t>
        </is>
      </c>
      <c r="S55" s="35" t="n">
        <v>15.93</v>
      </c>
      <c r="T55" s="35" t="inlineStr">
        <is>
          <t>25/27</t>
        </is>
      </c>
      <c r="U55" s="35" t="n">
        <v>92.59</v>
      </c>
      <c r="V55" s="35" t="inlineStr">
        <is>
          <t>23/27</t>
        </is>
      </c>
      <c r="W55" s="35" t="n">
        <v>85.19</v>
      </c>
      <c r="X55" s="35" t="n">
        <v>34697</v>
      </c>
      <c r="Y55" s="35" t="n">
        <v>3186</v>
      </c>
      <c r="Z55" s="35" t="n">
        <v>37883</v>
      </c>
      <c r="AA55" s="35" t="n">
        <v>2382</v>
      </c>
      <c r="AB55" s="35" t="n">
        <v>234</v>
      </c>
      <c r="AC55" s="35" t="n">
        <v>2784</v>
      </c>
      <c r="AD55" s="35" t="n">
        <v>42</v>
      </c>
      <c r="AE55" s="35" t="n">
        <v>0</v>
      </c>
      <c r="AF55" s="35" t="n">
        <v>42</v>
      </c>
      <c r="AG55" s="35" t="n">
        <v>128.51</v>
      </c>
      <c r="AH55" s="35" t="n">
        <v>11.8</v>
      </c>
      <c r="AI55" s="35" t="n">
        <v>11.8</v>
      </c>
      <c r="AJ55" s="35" t="n">
        <v>10.31</v>
      </c>
      <c r="AK55" s="35" t="n">
        <v>0.87</v>
      </c>
      <c r="AL55" s="35" t="n">
        <v>0.87</v>
      </c>
      <c r="AM55" s="35" t="n">
        <v>0.16</v>
      </c>
      <c r="AN55" s="35" t="n">
        <v>0</v>
      </c>
      <c r="AO55" s="35" t="n">
        <v>0.16</v>
      </c>
      <c r="AP55" s="35" t="n">
        <v>128.08</v>
      </c>
      <c r="AQ55" s="31" t="n">
        <v>141369300000</v>
      </c>
      <c r="AR55" s="31" t="n">
        <v>182329667800</v>
      </c>
      <c r="AS55" t="inlineStr">
        <is>
          <t>3/6</t>
        </is>
      </c>
      <c r="AT55" t="n">
        <v>50</v>
      </c>
      <c r="AW55" s="31" t="n">
        <v>3141540000</v>
      </c>
      <c r="AX55" s="31" t="n">
        <v>4036129900</v>
      </c>
      <c r="AY55" s="31" t="n">
        <v>894589900</v>
      </c>
      <c r="AZ55" s="35" t="n">
        <v>128.48</v>
      </c>
      <c r="BA55">
        <f>HYPERLINK("https://github.com/lottpicker/daily1689/blob/main/summary-v56.txt", "Click view")</f>
        <v/>
      </c>
    </row>
    <row r="56">
      <c r="A56" s="31" t="n">
        <v>68</v>
      </c>
      <c r="B56" s="31" t="inlineStr">
        <is>
          <t>100-369</t>
        </is>
      </c>
      <c r="C56" s="31" t="inlineStr">
        <is>
          <t>270</t>
        </is>
      </c>
      <c r="D56" s="35" t="n">
        <v>130.89</v>
      </c>
      <c r="E56" s="35" t="n">
        <v>43667442000</v>
      </c>
      <c r="F56" s="35" t="n">
        <v>40728</v>
      </c>
      <c r="G56" s="35" t="n">
        <v>3352</v>
      </c>
      <c r="H56" s="35" t="inlineStr">
        <is>
          <t>100/270</t>
        </is>
      </c>
      <c r="I56" s="35" t="n">
        <v>37.04</v>
      </c>
      <c r="J56" s="35" t="inlineStr">
        <is>
          <t>167/270</t>
        </is>
      </c>
      <c r="K56" s="35" t="n">
        <v>61.85</v>
      </c>
      <c r="L56" s="35" t="inlineStr">
        <is>
          <t>95/270</t>
        </is>
      </c>
      <c r="M56" s="35" t="n">
        <v>35.19</v>
      </c>
      <c r="N56" s="35" t="inlineStr">
        <is>
          <t>55/270</t>
        </is>
      </c>
      <c r="O56" s="35" t="n">
        <v>20.37</v>
      </c>
      <c r="P56" s="35" t="inlineStr">
        <is>
          <t>49/270</t>
        </is>
      </c>
      <c r="Q56" s="35" t="n">
        <v>18.15</v>
      </c>
      <c r="R56" s="35" t="inlineStr">
        <is>
          <t>47/270</t>
        </is>
      </c>
      <c r="S56" s="35" t="n">
        <v>17.41</v>
      </c>
      <c r="T56" s="35" t="inlineStr">
        <is>
          <t>25/27</t>
        </is>
      </c>
      <c r="U56" s="35" t="n">
        <v>92.59</v>
      </c>
      <c r="V56" s="35" t="inlineStr">
        <is>
          <t>23/27</t>
        </is>
      </c>
      <c r="W56" s="35" t="n">
        <v>85.19</v>
      </c>
      <c r="X56" s="35" t="n">
        <v>34748</v>
      </c>
      <c r="Y56" s="35" t="n">
        <v>3138</v>
      </c>
      <c r="Z56" s="35" t="n">
        <v>37886</v>
      </c>
      <c r="AA56" s="35" t="n">
        <v>2395</v>
      </c>
      <c r="AB56" s="35" t="n">
        <v>212</v>
      </c>
      <c r="AC56" s="35" t="n">
        <v>2795</v>
      </c>
      <c r="AD56" s="35" t="n">
        <v>45</v>
      </c>
      <c r="AE56" s="35" t="n">
        <v>2</v>
      </c>
      <c r="AF56" s="35" t="n">
        <v>47</v>
      </c>
      <c r="AG56" s="35" t="n">
        <v>128.7</v>
      </c>
      <c r="AH56" s="35" t="n">
        <v>11.62</v>
      </c>
      <c r="AI56" s="35" t="n">
        <v>11.62</v>
      </c>
      <c r="AJ56" s="35" t="n">
        <v>10.35</v>
      </c>
      <c r="AK56" s="35" t="n">
        <v>0.79</v>
      </c>
      <c r="AL56" s="35" t="n">
        <v>0.79</v>
      </c>
      <c r="AM56" s="35" t="n">
        <v>0.17</v>
      </c>
      <c r="AN56" s="35" t="n">
        <v>0.01</v>
      </c>
      <c r="AO56" s="35" t="n">
        <v>0.17</v>
      </c>
      <c r="AP56" s="35" t="n">
        <v>128.31</v>
      </c>
      <c r="AQ56" s="31" t="n">
        <v>141369300000</v>
      </c>
      <c r="AR56" s="31" t="n">
        <v>185036742000</v>
      </c>
      <c r="AS56" t="inlineStr">
        <is>
          <t>3/6</t>
        </is>
      </c>
      <c r="AT56" t="n">
        <v>50</v>
      </c>
      <c r="AW56" s="31" t="n">
        <v>3141540000</v>
      </c>
      <c r="AX56" s="31" t="n">
        <v>2600076600</v>
      </c>
      <c r="AY56" s="31" t="n">
        <v>-541463400</v>
      </c>
      <c r="AZ56" s="35" t="n">
        <v>82.76000000000001</v>
      </c>
      <c r="BA56">
        <f>HYPERLINK("https://github.com/lottpicker/daily1689/blob/main/summary-v68.txt", "Click view")</f>
        <v/>
      </c>
    </row>
    <row r="57">
      <c r="A57" s="31" t="n">
        <v>74</v>
      </c>
      <c r="B57" s="31" t="inlineStr">
        <is>
          <t>100-369</t>
        </is>
      </c>
      <c r="C57" s="31" t="inlineStr">
        <is>
          <t>270</t>
        </is>
      </c>
      <c r="D57" s="35" t="n">
        <v>130.03</v>
      </c>
      <c r="E57" s="35" t="n">
        <v>42457915700</v>
      </c>
      <c r="F57" s="35" t="n">
        <v>40723</v>
      </c>
      <c r="G57" s="35" t="n">
        <v>3433</v>
      </c>
      <c r="H57" s="35" t="inlineStr">
        <is>
          <t>87/270</t>
        </is>
      </c>
      <c r="I57" s="35" t="n">
        <v>32.22</v>
      </c>
      <c r="J57" s="35" t="inlineStr">
        <is>
          <t>180/270</t>
        </is>
      </c>
      <c r="K57" s="35" t="n">
        <v>66.67</v>
      </c>
      <c r="L57" s="35" t="inlineStr">
        <is>
          <t>95/270</t>
        </is>
      </c>
      <c r="M57" s="35" t="n">
        <v>35.19</v>
      </c>
      <c r="N57" s="35" t="inlineStr">
        <is>
          <t>59/270</t>
        </is>
      </c>
      <c r="O57" s="35" t="n">
        <v>21.85</v>
      </c>
      <c r="P57" s="35" t="inlineStr">
        <is>
          <t>49/270</t>
        </is>
      </c>
      <c r="Q57" s="35" t="n">
        <v>18.15</v>
      </c>
      <c r="R57" s="35" t="inlineStr">
        <is>
          <t>43/270</t>
        </is>
      </c>
      <c r="S57" s="35" t="n">
        <v>15.93</v>
      </c>
      <c r="T57" s="35" t="inlineStr">
        <is>
          <t>26/27</t>
        </is>
      </c>
      <c r="U57" s="35" t="n">
        <v>96.3</v>
      </c>
      <c r="V57" s="35" t="inlineStr">
        <is>
          <t>25/27</t>
        </is>
      </c>
      <c r="W57" s="35" t="n">
        <v>92.59</v>
      </c>
      <c r="X57" s="35" t="n">
        <v>34699</v>
      </c>
      <c r="Y57" s="35" t="n">
        <v>3196</v>
      </c>
      <c r="Z57" s="35" t="n">
        <v>37895</v>
      </c>
      <c r="AA57" s="35" t="n">
        <v>2378</v>
      </c>
      <c r="AB57" s="35" t="n">
        <v>235</v>
      </c>
      <c r="AC57" s="35" t="n">
        <v>2785</v>
      </c>
      <c r="AD57" s="35" t="n">
        <v>41</v>
      </c>
      <c r="AE57" s="35" t="n">
        <v>2</v>
      </c>
      <c r="AF57" s="35" t="n">
        <v>43</v>
      </c>
      <c r="AG57" s="35" t="n">
        <v>128.51</v>
      </c>
      <c r="AH57" s="35" t="n">
        <v>11.84</v>
      </c>
      <c r="AI57" s="35" t="n">
        <v>11.84</v>
      </c>
      <c r="AJ57" s="35" t="n">
        <v>10.31</v>
      </c>
      <c r="AK57" s="35" t="n">
        <v>0.87</v>
      </c>
      <c r="AL57" s="35" t="n">
        <v>0.87</v>
      </c>
      <c r="AM57" s="35" t="n">
        <v>0.15</v>
      </c>
      <c r="AN57" s="35" t="n">
        <v>0.01</v>
      </c>
      <c r="AO57" s="35" t="n">
        <v>0.16</v>
      </c>
      <c r="AP57" s="35" t="n">
        <v>127.99</v>
      </c>
      <c r="AQ57" s="31" t="n">
        <v>141369300000</v>
      </c>
      <c r="AR57" s="31" t="n">
        <v>183827215700</v>
      </c>
      <c r="AS57" t="inlineStr">
        <is>
          <t>3/6</t>
        </is>
      </c>
      <c r="AT57" t="n">
        <v>50</v>
      </c>
      <c r="AW57" s="31" t="n">
        <v>3141540000</v>
      </c>
      <c r="AX57" s="31" t="n">
        <v>2503077700</v>
      </c>
      <c r="AY57" s="31" t="n">
        <v>-638462300</v>
      </c>
      <c r="AZ57" s="35" t="n">
        <v>79.68000000000001</v>
      </c>
      <c r="BA57">
        <f>HYPERLINK("https://github.com/lottpicker/daily1689/blob/main/summary-v74.txt", "Click view")</f>
        <v/>
      </c>
    </row>
    <row r="58">
      <c r="A58" s="31" t="n">
        <v>20</v>
      </c>
      <c r="B58" s="31" t="inlineStr">
        <is>
          <t>100-369</t>
        </is>
      </c>
      <c r="C58" s="31" t="inlineStr">
        <is>
          <t>270</t>
        </is>
      </c>
      <c r="D58" s="35" t="n">
        <v>138.19</v>
      </c>
      <c r="E58" s="35" t="n">
        <v>53991379900</v>
      </c>
      <c r="F58" s="35" t="n">
        <v>40771</v>
      </c>
      <c r="G58" s="35" t="n">
        <v>3411</v>
      </c>
      <c r="H58" s="35" t="inlineStr">
        <is>
          <t>91/270</t>
        </is>
      </c>
      <c r="I58" s="35" t="n">
        <v>33.7</v>
      </c>
      <c r="J58" s="35" t="inlineStr">
        <is>
          <t>177/270</t>
        </is>
      </c>
      <c r="K58" s="35" t="n">
        <v>65.56</v>
      </c>
      <c r="L58" s="35" t="inlineStr">
        <is>
          <t>97/270</t>
        </is>
      </c>
      <c r="M58" s="35" t="n">
        <v>35.93</v>
      </c>
      <c r="N58" s="35" t="inlineStr">
        <is>
          <t>68/270</t>
        </is>
      </c>
      <c r="O58" s="35" t="n">
        <v>25.19</v>
      </c>
      <c r="P58" s="35" t="inlineStr">
        <is>
          <t>57/270</t>
        </is>
      </c>
      <c r="Q58" s="35" t="n">
        <v>21.11</v>
      </c>
      <c r="R58" s="35" t="inlineStr">
        <is>
          <t>55/270</t>
        </is>
      </c>
      <c r="S58" s="35" t="n">
        <v>20.37</v>
      </c>
      <c r="T58" s="35" t="inlineStr">
        <is>
          <t>27/27</t>
        </is>
      </c>
      <c r="U58" s="35" t="n">
        <v>100</v>
      </c>
      <c r="V58" s="35" t="inlineStr">
        <is>
          <t>27/27</t>
        </is>
      </c>
      <c r="W58" s="35" t="n">
        <v>100</v>
      </c>
      <c r="X58" s="35" t="n">
        <v>34726</v>
      </c>
      <c r="Y58" s="35" t="n">
        <v>3198</v>
      </c>
      <c r="Z58" s="35" t="n">
        <v>37924</v>
      </c>
      <c r="AA58" s="35" t="n">
        <v>2361</v>
      </c>
      <c r="AB58" s="35" t="n">
        <v>211</v>
      </c>
      <c r="AC58" s="35" t="n">
        <v>2792</v>
      </c>
      <c r="AD58" s="35" t="n">
        <v>53</v>
      </c>
      <c r="AE58" s="35" t="n">
        <v>2</v>
      </c>
      <c r="AF58" s="35" t="n">
        <v>55</v>
      </c>
      <c r="AG58" s="35" t="n">
        <v>128.61</v>
      </c>
      <c r="AH58" s="35" t="n">
        <v>11.84</v>
      </c>
      <c r="AI58" s="35" t="n">
        <v>11.84</v>
      </c>
      <c r="AJ58" s="35" t="n">
        <v>10.34</v>
      </c>
      <c r="AK58" s="35" t="n">
        <v>0.78</v>
      </c>
      <c r="AL58" s="35" t="n">
        <v>0.78</v>
      </c>
      <c r="AM58" s="35" t="n">
        <v>0.2</v>
      </c>
      <c r="AN58" s="35" t="n">
        <v>0.01</v>
      </c>
      <c r="AO58" s="35" t="n">
        <v>0.2</v>
      </c>
      <c r="AP58" s="35" t="n">
        <v>128.11</v>
      </c>
      <c r="AQ58" s="31" t="n">
        <v>141369300000</v>
      </c>
      <c r="AR58" s="31" t="n">
        <v>195360679900</v>
      </c>
      <c r="AS58" t="inlineStr">
        <is>
          <t>2/6</t>
        </is>
      </c>
      <c r="AT58" t="n">
        <v>33.33</v>
      </c>
      <c r="AU58" t="inlineStr">
        <is>
          <t>2/6</t>
        </is>
      </c>
      <c r="AV58" t="n">
        <v>33.33</v>
      </c>
      <c r="AW58" s="31" t="n">
        <v>3141540000</v>
      </c>
      <c r="AX58" s="31" t="n">
        <v>4719151100</v>
      </c>
      <c r="AY58" s="31" t="n">
        <v>1577611100</v>
      </c>
      <c r="AZ58" s="35" t="n">
        <v>150.22</v>
      </c>
      <c r="BA58" s="17">
        <f>HYPERLINK("https://github.com/lottpicker/daily1689/blob/main/summary-v20.txt", "Click view")</f>
        <v/>
      </c>
    </row>
    <row r="59">
      <c r="A59" s="31" t="n">
        <v>12</v>
      </c>
      <c r="B59" s="31" t="inlineStr">
        <is>
          <t>100-369</t>
        </is>
      </c>
      <c r="C59" s="31" t="inlineStr">
        <is>
          <t>270</t>
        </is>
      </c>
      <c r="D59" s="35" t="n">
        <v>135.59</v>
      </c>
      <c r="E59" s="35" t="n">
        <v>50307411900</v>
      </c>
      <c r="F59" s="35" t="n">
        <v>40777</v>
      </c>
      <c r="G59" s="35" t="n">
        <v>3411</v>
      </c>
      <c r="H59" s="35" t="inlineStr">
        <is>
          <t>90/270</t>
        </is>
      </c>
      <c r="I59" s="35" t="n">
        <v>33.33</v>
      </c>
      <c r="J59" s="35" t="inlineStr">
        <is>
          <t>176/270</t>
        </is>
      </c>
      <c r="K59" s="35" t="n">
        <v>65.19</v>
      </c>
      <c r="L59" s="35" t="inlineStr">
        <is>
          <t>97/270</t>
        </is>
      </c>
      <c r="M59" s="35" t="n">
        <v>35.93</v>
      </c>
      <c r="N59" s="35" t="inlineStr">
        <is>
          <t>61/270</t>
        </is>
      </c>
      <c r="O59" s="35" t="n">
        <v>22.59</v>
      </c>
      <c r="P59" s="35" t="inlineStr">
        <is>
          <t>53/270</t>
        </is>
      </c>
      <c r="Q59" s="35" t="n">
        <v>19.63</v>
      </c>
      <c r="R59" s="35" t="inlineStr">
        <is>
          <t>51/270</t>
        </is>
      </c>
      <c r="S59" s="35" t="n">
        <v>18.89</v>
      </c>
      <c r="T59" s="35" t="inlineStr">
        <is>
          <t>25/27</t>
        </is>
      </c>
      <c r="U59" s="35" t="n">
        <v>92.59</v>
      </c>
      <c r="V59" s="35" t="inlineStr">
        <is>
          <t>25/27</t>
        </is>
      </c>
      <c r="W59" s="35" t="n">
        <v>92.59</v>
      </c>
      <c r="X59" s="35" t="n">
        <v>34757</v>
      </c>
      <c r="Y59" s="35" t="n">
        <v>3188</v>
      </c>
      <c r="Z59" s="35" t="n">
        <v>37945</v>
      </c>
      <c r="AA59" s="35" t="n">
        <v>2356</v>
      </c>
      <c r="AB59" s="35" t="n">
        <v>221</v>
      </c>
      <c r="AC59" s="35" t="n">
        <v>2781</v>
      </c>
      <c r="AD59" s="35" t="n">
        <v>49</v>
      </c>
      <c r="AE59" s="35" t="n">
        <v>2</v>
      </c>
      <c r="AF59" s="35" t="n">
        <v>51</v>
      </c>
      <c r="AG59" s="35" t="n">
        <v>128.73</v>
      </c>
      <c r="AH59" s="35" t="n">
        <v>11.81</v>
      </c>
      <c r="AI59" s="35" t="n">
        <v>11.81</v>
      </c>
      <c r="AJ59" s="35" t="n">
        <v>10.3</v>
      </c>
      <c r="AK59" s="35" t="n">
        <v>0.82</v>
      </c>
      <c r="AL59" s="35" t="n">
        <v>0.82</v>
      </c>
      <c r="AM59" s="35" t="n">
        <v>0.18</v>
      </c>
      <c r="AN59" s="35" t="n">
        <v>0.01</v>
      </c>
      <c r="AO59" s="35" t="n">
        <v>0.19</v>
      </c>
      <c r="AP59" s="35" t="n">
        <v>128.11</v>
      </c>
      <c r="AQ59" s="31" t="n">
        <v>141369300000</v>
      </c>
      <c r="AR59" s="31" t="n">
        <v>191676711900</v>
      </c>
      <c r="AS59" t="inlineStr">
        <is>
          <t>2/6</t>
        </is>
      </c>
      <c r="AT59" t="n">
        <v>33.33</v>
      </c>
      <c r="AW59" s="31" t="n">
        <v>3141540000</v>
      </c>
      <c r="AX59" s="31" t="n">
        <v>3752117100</v>
      </c>
      <c r="AY59" s="31" t="n">
        <v>610577100</v>
      </c>
      <c r="AZ59" s="35" t="n">
        <v>119.44</v>
      </c>
      <c r="BA59" s="17">
        <f>HYPERLINK("https://github.com/lottpicker/daily1689/blob/main/summary-v12.txt", "Click view")</f>
        <v/>
      </c>
    </row>
    <row r="60">
      <c r="A60" s="31" t="n">
        <v>28</v>
      </c>
      <c r="B60" s="31" t="inlineStr">
        <is>
          <t>100-369</t>
        </is>
      </c>
      <c r="C60" s="31" t="inlineStr">
        <is>
          <t>270</t>
        </is>
      </c>
      <c r="D60" s="35" t="n">
        <v>129.31</v>
      </c>
      <c r="E60" s="35" t="n">
        <v>41428724000</v>
      </c>
      <c r="F60" s="35" t="n">
        <v>40733</v>
      </c>
      <c r="G60" s="35" t="n">
        <v>3334</v>
      </c>
      <c r="H60" s="35" t="inlineStr">
        <is>
          <t>93/270</t>
        </is>
      </c>
      <c r="I60" s="35" t="n">
        <v>34.44</v>
      </c>
      <c r="J60" s="35" t="inlineStr">
        <is>
          <t>168/270</t>
        </is>
      </c>
      <c r="K60" s="35" t="n">
        <v>62.22</v>
      </c>
      <c r="L60" s="35" t="inlineStr">
        <is>
          <t>84/270</t>
        </is>
      </c>
      <c r="M60" s="35" t="n">
        <v>31.11</v>
      </c>
      <c r="N60" s="35" t="inlineStr">
        <is>
          <t>58/270</t>
        </is>
      </c>
      <c r="O60" s="35" t="n">
        <v>21.48</v>
      </c>
      <c r="P60" s="35" t="inlineStr">
        <is>
          <t>49/270</t>
        </is>
      </c>
      <c r="Q60" s="35" t="n">
        <v>18.15</v>
      </c>
      <c r="R60" s="35" t="inlineStr">
        <is>
          <t>47/270</t>
        </is>
      </c>
      <c r="S60" s="35" t="n">
        <v>17.41</v>
      </c>
      <c r="T60" s="35" t="inlineStr">
        <is>
          <t>26/27</t>
        </is>
      </c>
      <c r="U60" s="35" t="n">
        <v>96.3</v>
      </c>
      <c r="V60" s="35" t="inlineStr">
        <is>
          <t>24/27</t>
        </is>
      </c>
      <c r="W60" s="35" t="n">
        <v>88.89</v>
      </c>
      <c r="X60" s="35" t="n">
        <v>34756</v>
      </c>
      <c r="Y60" s="35" t="n">
        <v>3134</v>
      </c>
      <c r="Z60" s="35" t="n">
        <v>37890</v>
      </c>
      <c r="AA60" s="35" t="n">
        <v>2410</v>
      </c>
      <c r="AB60" s="35" t="n">
        <v>198</v>
      </c>
      <c r="AC60" s="35" t="n">
        <v>2796</v>
      </c>
      <c r="AD60" s="35" t="n">
        <v>45</v>
      </c>
      <c r="AE60" s="35" t="n">
        <v>2</v>
      </c>
      <c r="AF60" s="35" t="n">
        <v>47</v>
      </c>
      <c r="AG60" s="35" t="n">
        <v>128.73</v>
      </c>
      <c r="AH60" s="35" t="n">
        <v>11.61</v>
      </c>
      <c r="AI60" s="35" t="n">
        <v>11.61</v>
      </c>
      <c r="AJ60" s="35" t="n">
        <v>10.36</v>
      </c>
      <c r="AK60" s="35" t="n">
        <v>0.73</v>
      </c>
      <c r="AL60" s="35" t="n">
        <v>0.73</v>
      </c>
      <c r="AM60" s="35" t="n">
        <v>0.17</v>
      </c>
      <c r="AN60" s="35" t="n">
        <v>0.01</v>
      </c>
      <c r="AO60" s="35" t="n">
        <v>0.17</v>
      </c>
      <c r="AP60" s="35" t="n">
        <v>128.4</v>
      </c>
      <c r="AQ60" s="31" t="n">
        <v>141369300000</v>
      </c>
      <c r="AR60" s="31" t="n">
        <v>182798024000</v>
      </c>
      <c r="AS60" t="inlineStr">
        <is>
          <t>2/6</t>
        </is>
      </c>
      <c r="AT60" t="n">
        <v>33.33</v>
      </c>
      <c r="AW60" s="31" t="n">
        <v>3141540000</v>
      </c>
      <c r="AX60" s="31" t="n">
        <v>2517347100</v>
      </c>
      <c r="AY60" s="31" t="n">
        <v>-624192900</v>
      </c>
      <c r="AZ60" s="35" t="n">
        <v>80.13</v>
      </c>
      <c r="BA60" s="17">
        <f>HYPERLINK("https://github.com/lottpicker/daily1689/blob/main/summary-v28.txt", "Click view")</f>
        <v/>
      </c>
    </row>
    <row r="61">
      <c r="A61" s="31" t="n">
        <v>47</v>
      </c>
      <c r="B61" s="31" t="inlineStr">
        <is>
          <t>100-369</t>
        </is>
      </c>
      <c r="C61" s="31" t="inlineStr">
        <is>
          <t>270</t>
        </is>
      </c>
      <c r="D61" s="35" t="n">
        <v>134.65</v>
      </c>
      <c r="E61" s="35" t="n">
        <v>48981467300</v>
      </c>
      <c r="F61" s="35" t="n">
        <v>40780</v>
      </c>
      <c r="G61" s="35" t="n">
        <v>3318</v>
      </c>
      <c r="H61" s="35" t="inlineStr">
        <is>
          <t>102/270</t>
        </is>
      </c>
      <c r="I61" s="35" t="n">
        <v>37.78</v>
      </c>
      <c r="J61" s="35" t="inlineStr">
        <is>
          <t>163/270</t>
        </is>
      </c>
      <c r="K61" s="35" t="n">
        <v>60.37</v>
      </c>
      <c r="L61" s="35" t="inlineStr">
        <is>
          <t>96/270</t>
        </is>
      </c>
      <c r="M61" s="35" t="n">
        <v>35.56</v>
      </c>
      <c r="N61" s="35" t="inlineStr">
        <is>
          <t>62/270</t>
        </is>
      </c>
      <c r="O61" s="35" t="n">
        <v>22.96</v>
      </c>
      <c r="P61" s="35" t="inlineStr">
        <is>
          <t>56/270</t>
        </is>
      </c>
      <c r="Q61" s="35" t="n">
        <v>20.74</v>
      </c>
      <c r="R61" s="35" t="inlineStr">
        <is>
          <t>53/270</t>
        </is>
      </c>
      <c r="S61" s="35" t="n">
        <v>19.63</v>
      </c>
      <c r="T61" s="35" t="inlineStr">
        <is>
          <t>25/27</t>
        </is>
      </c>
      <c r="U61" s="35" t="n">
        <v>92.59</v>
      </c>
      <c r="V61" s="35" t="inlineStr">
        <is>
          <t>22/27</t>
        </is>
      </c>
      <c r="W61" s="35" t="n">
        <v>81.48</v>
      </c>
      <c r="X61" s="35" t="n">
        <v>34826</v>
      </c>
      <c r="Y61" s="35" t="n">
        <v>3113</v>
      </c>
      <c r="Z61" s="35" t="n">
        <v>37939</v>
      </c>
      <c r="AA61" s="35" t="n">
        <v>2377</v>
      </c>
      <c r="AB61" s="35" t="n">
        <v>199</v>
      </c>
      <c r="AC61" s="35" t="n">
        <v>2788</v>
      </c>
      <c r="AD61" s="35" t="n">
        <v>47</v>
      </c>
      <c r="AE61" s="35" t="n">
        <v>6</v>
      </c>
      <c r="AF61" s="35" t="n">
        <v>53</v>
      </c>
      <c r="AG61" s="35" t="n">
        <v>128.99</v>
      </c>
      <c r="AH61" s="35" t="n">
        <v>11.53</v>
      </c>
      <c r="AI61" s="35" t="n">
        <v>11.53</v>
      </c>
      <c r="AJ61" s="35" t="n">
        <v>10.33</v>
      </c>
      <c r="AK61" s="35" t="n">
        <v>0.74</v>
      </c>
      <c r="AL61" s="35" t="n">
        <v>0.74</v>
      </c>
      <c r="AM61" s="35" t="n">
        <v>0.17</v>
      </c>
      <c r="AN61" s="35" t="n">
        <v>0.02</v>
      </c>
      <c r="AO61" s="35" t="n">
        <v>0.2</v>
      </c>
      <c r="AP61" s="35" t="n">
        <v>128.44</v>
      </c>
      <c r="AQ61" s="31" t="n">
        <v>141369300000</v>
      </c>
      <c r="AR61" s="31" t="n">
        <v>190350767300</v>
      </c>
      <c r="AS61" t="inlineStr">
        <is>
          <t>2/6</t>
        </is>
      </c>
      <c r="AT61" t="n">
        <v>33.33</v>
      </c>
      <c r="AW61" s="31" t="n">
        <v>3141540000</v>
      </c>
      <c r="AX61" s="31" t="n">
        <v>2371665600</v>
      </c>
      <c r="AY61" s="31" t="n">
        <v>-769874400</v>
      </c>
      <c r="AZ61" s="35" t="n">
        <v>75.48999999999999</v>
      </c>
      <c r="BA61" s="17">
        <f>HYPERLINK("https://github.com/lottpicker/daily1689/blob/main/summary-v47.txt", "Click view")</f>
        <v/>
      </c>
    </row>
    <row r="62">
      <c r="A62" s="31" t="n">
        <v>59</v>
      </c>
      <c r="B62" s="31" t="inlineStr">
        <is>
          <t>100-369</t>
        </is>
      </c>
      <c r="C62" s="31" t="inlineStr">
        <is>
          <t>270</t>
        </is>
      </c>
      <c r="D62" s="35" t="n">
        <v>133.01</v>
      </c>
      <c r="E62" s="35" t="n">
        <v>46660874800</v>
      </c>
      <c r="F62" s="35" t="n">
        <v>40754</v>
      </c>
      <c r="G62" s="35" t="n">
        <v>3420</v>
      </c>
      <c r="H62" s="35" t="inlineStr">
        <is>
          <t>92/270</t>
        </is>
      </c>
      <c r="I62" s="35" t="n">
        <v>34.07</v>
      </c>
      <c r="J62" s="35" t="inlineStr">
        <is>
          <t>173/270</t>
        </is>
      </c>
      <c r="K62" s="35" t="n">
        <v>64.06999999999999</v>
      </c>
      <c r="L62" s="35" t="inlineStr">
        <is>
          <t>88/270</t>
        </is>
      </c>
      <c r="M62" s="35" t="n">
        <v>32.59</v>
      </c>
      <c r="N62" s="35" t="inlineStr">
        <is>
          <t>59/270</t>
        </is>
      </c>
      <c r="O62" s="35" t="n">
        <v>21.85</v>
      </c>
      <c r="P62" s="35" t="inlineStr">
        <is>
          <t>51/270</t>
        </is>
      </c>
      <c r="Q62" s="35" t="n">
        <v>18.89</v>
      </c>
      <c r="R62" s="35" t="inlineStr">
        <is>
          <t>49/270</t>
        </is>
      </c>
      <c r="S62" s="35" t="n">
        <v>18.15</v>
      </c>
      <c r="T62" s="35" t="inlineStr">
        <is>
          <t>26/27</t>
        </is>
      </c>
      <c r="U62" s="35" t="n">
        <v>96.3</v>
      </c>
      <c r="V62" s="35" t="inlineStr">
        <is>
          <t>25/27</t>
        </is>
      </c>
      <c r="W62" s="35" t="n">
        <v>92.59</v>
      </c>
      <c r="X62" s="35" t="n">
        <v>34695</v>
      </c>
      <c r="Y62" s="35" t="n">
        <v>3213</v>
      </c>
      <c r="Z62" s="35" t="n">
        <v>37908</v>
      </c>
      <c r="AA62" s="35" t="n">
        <v>2392</v>
      </c>
      <c r="AB62" s="35" t="n">
        <v>204</v>
      </c>
      <c r="AC62" s="35" t="n">
        <v>2796</v>
      </c>
      <c r="AD62" s="35" t="n">
        <v>47</v>
      </c>
      <c r="AE62" s="35" t="n">
        <v>3</v>
      </c>
      <c r="AF62" s="35" t="n">
        <v>50</v>
      </c>
      <c r="AG62" s="35" t="n">
        <v>128.5</v>
      </c>
      <c r="AH62" s="35" t="n">
        <v>11.9</v>
      </c>
      <c r="AI62" s="35" t="n">
        <v>11.9</v>
      </c>
      <c r="AJ62" s="35" t="n">
        <v>10.36</v>
      </c>
      <c r="AK62" s="35" t="n">
        <v>0.76</v>
      </c>
      <c r="AL62" s="35" t="n">
        <v>0.76</v>
      </c>
      <c r="AM62" s="35" t="n">
        <v>0.17</v>
      </c>
      <c r="AN62" s="35" t="n">
        <v>0.01</v>
      </c>
      <c r="AO62" s="35" t="n">
        <v>0.19</v>
      </c>
      <c r="AP62" s="35" t="n">
        <v>128.1</v>
      </c>
      <c r="AQ62" s="31" t="n">
        <v>141369300000</v>
      </c>
      <c r="AR62" s="31" t="n">
        <v>188030174800</v>
      </c>
      <c r="AS62" t="inlineStr">
        <is>
          <t>2/6</t>
        </is>
      </c>
      <c r="AT62" t="n">
        <v>33.33</v>
      </c>
      <c r="AW62" s="31" t="n">
        <v>3141540000</v>
      </c>
      <c r="AX62" s="31" t="n">
        <v>3461099700</v>
      </c>
      <c r="AY62" s="31" t="n">
        <v>319559700</v>
      </c>
      <c r="AZ62" s="35" t="n">
        <v>110.17</v>
      </c>
      <c r="BA62">
        <f>HYPERLINK("https://github.com/lottpicker/daily1689/blob/main/summary-v59.txt", "Click view")</f>
        <v/>
      </c>
    </row>
    <row r="63">
      <c r="A63" s="31" t="n">
        <v>69</v>
      </c>
      <c r="B63" s="31" t="inlineStr">
        <is>
          <t>100-369</t>
        </is>
      </c>
      <c r="C63" s="31" t="inlineStr">
        <is>
          <t>270</t>
        </is>
      </c>
      <c r="D63" s="35" t="n">
        <v>126.55</v>
      </c>
      <c r="E63" s="35" t="n">
        <v>37539477200</v>
      </c>
      <c r="F63" s="35" t="n">
        <v>40689</v>
      </c>
      <c r="G63" s="35" t="n">
        <v>3415</v>
      </c>
      <c r="H63" s="35" t="inlineStr">
        <is>
          <t>91/270</t>
        </is>
      </c>
      <c r="I63" s="35" t="n">
        <v>33.7</v>
      </c>
      <c r="J63" s="35" t="inlineStr">
        <is>
          <t>176/270</t>
        </is>
      </c>
      <c r="K63" s="35" t="n">
        <v>65.19</v>
      </c>
      <c r="L63" s="35" t="inlineStr">
        <is>
          <t>90/270</t>
        </is>
      </c>
      <c r="M63" s="35" t="n">
        <v>33.33</v>
      </c>
      <c r="N63" s="35" t="inlineStr">
        <is>
          <t>48/270</t>
        </is>
      </c>
      <c r="O63" s="35" t="n">
        <v>17.78</v>
      </c>
      <c r="P63" s="35" t="inlineStr">
        <is>
          <t>42/270</t>
        </is>
      </c>
      <c r="Q63" s="35" t="n">
        <v>15.56</v>
      </c>
      <c r="R63" s="35" t="inlineStr">
        <is>
          <t>39/270</t>
        </is>
      </c>
      <c r="S63" s="35" t="n">
        <v>14.44</v>
      </c>
      <c r="T63" s="35" t="inlineStr">
        <is>
          <t>25/27</t>
        </is>
      </c>
      <c r="U63" s="35" t="n">
        <v>92.59</v>
      </c>
      <c r="V63" s="35" t="inlineStr">
        <is>
          <t>23/27</t>
        </is>
      </c>
      <c r="W63" s="35" t="n">
        <v>85.19</v>
      </c>
      <c r="X63" s="35" t="n">
        <v>34673</v>
      </c>
      <c r="Y63" s="35" t="n">
        <v>3185</v>
      </c>
      <c r="Z63" s="35" t="n">
        <v>37858</v>
      </c>
      <c r="AA63" s="35" t="n">
        <v>2403</v>
      </c>
      <c r="AB63" s="35" t="n">
        <v>228</v>
      </c>
      <c r="AC63" s="35" t="n">
        <v>2791</v>
      </c>
      <c r="AD63" s="35" t="n">
        <v>38</v>
      </c>
      <c r="AE63" s="35" t="n">
        <v>2</v>
      </c>
      <c r="AF63" s="35" t="n">
        <v>40</v>
      </c>
      <c r="AG63" s="35" t="n">
        <v>128.42</v>
      </c>
      <c r="AH63" s="35" t="n">
        <v>11.8</v>
      </c>
      <c r="AI63" s="35" t="n">
        <v>11.8</v>
      </c>
      <c r="AJ63" s="35" t="n">
        <v>10.34</v>
      </c>
      <c r="AK63" s="35" t="n">
        <v>0.84</v>
      </c>
      <c r="AL63" s="35" t="n">
        <v>0.84</v>
      </c>
      <c r="AM63" s="35" t="n">
        <v>0.14</v>
      </c>
      <c r="AN63" s="35" t="n">
        <v>0.01</v>
      </c>
      <c r="AO63" s="35" t="n">
        <v>0.15</v>
      </c>
      <c r="AP63" s="35" t="n">
        <v>128.13</v>
      </c>
      <c r="AQ63" s="31" t="n">
        <v>141369300000</v>
      </c>
      <c r="AR63" s="31" t="n">
        <v>178908777200</v>
      </c>
      <c r="AS63" t="inlineStr">
        <is>
          <t>2/6</t>
        </is>
      </c>
      <c r="AT63" t="n">
        <v>33.33</v>
      </c>
      <c r="AW63" s="31" t="n">
        <v>3141540000</v>
      </c>
      <c r="AX63" s="31" t="n">
        <v>3675479400</v>
      </c>
      <c r="AY63" s="31" t="n">
        <v>533939400</v>
      </c>
      <c r="AZ63" s="35" t="n">
        <v>117</v>
      </c>
      <c r="BA63">
        <f>HYPERLINK("https://github.com/lottpicker/daily1689/blob/main/summary-v69.txt", "Click view")</f>
        <v/>
      </c>
    </row>
    <row r="64">
      <c r="A64" s="31" t="n">
        <v>70</v>
      </c>
      <c r="B64" s="31" t="inlineStr">
        <is>
          <t>100-369</t>
        </is>
      </c>
      <c r="C64" s="31" t="inlineStr">
        <is>
          <t>270</t>
        </is>
      </c>
      <c r="D64" s="35" t="n">
        <v>133.01</v>
      </c>
      <c r="E64" s="35" t="n">
        <v>46660874800</v>
      </c>
      <c r="F64" s="35" t="n">
        <v>40754</v>
      </c>
      <c r="G64" s="35" t="n">
        <v>3420</v>
      </c>
      <c r="H64" s="35" t="inlineStr">
        <is>
          <t>92/270</t>
        </is>
      </c>
      <c r="I64" s="35" t="n">
        <v>34.07</v>
      </c>
      <c r="J64" s="35" t="inlineStr">
        <is>
          <t>173/270</t>
        </is>
      </c>
      <c r="K64" s="35" t="n">
        <v>64.06999999999999</v>
      </c>
      <c r="L64" s="35" t="inlineStr">
        <is>
          <t>88/270</t>
        </is>
      </c>
      <c r="M64" s="35" t="n">
        <v>32.59</v>
      </c>
      <c r="N64" s="35" t="inlineStr">
        <is>
          <t>59/270</t>
        </is>
      </c>
      <c r="O64" s="35" t="n">
        <v>21.85</v>
      </c>
      <c r="P64" s="35" t="inlineStr">
        <is>
          <t>51/270</t>
        </is>
      </c>
      <c r="Q64" s="35" t="n">
        <v>18.89</v>
      </c>
      <c r="R64" s="35" t="inlineStr">
        <is>
          <t>49/270</t>
        </is>
      </c>
      <c r="S64" s="35" t="n">
        <v>18.15</v>
      </c>
      <c r="T64" s="35" t="inlineStr">
        <is>
          <t>26/27</t>
        </is>
      </c>
      <c r="U64" s="35" t="n">
        <v>96.3</v>
      </c>
      <c r="V64" s="35" t="inlineStr">
        <is>
          <t>25/27</t>
        </is>
      </c>
      <c r="W64" s="35" t="n">
        <v>92.59</v>
      </c>
      <c r="X64" s="35" t="n">
        <v>34695</v>
      </c>
      <c r="Y64" s="35" t="n">
        <v>3213</v>
      </c>
      <c r="Z64" s="35" t="n">
        <v>37908</v>
      </c>
      <c r="AA64" s="35" t="n">
        <v>2392</v>
      </c>
      <c r="AB64" s="35" t="n">
        <v>204</v>
      </c>
      <c r="AC64" s="35" t="n">
        <v>2796</v>
      </c>
      <c r="AD64" s="35" t="n">
        <v>47</v>
      </c>
      <c r="AE64" s="35" t="n">
        <v>3</v>
      </c>
      <c r="AF64" s="35" t="n">
        <v>50</v>
      </c>
      <c r="AG64" s="35" t="n">
        <v>128.5</v>
      </c>
      <c r="AH64" s="35" t="n">
        <v>11.9</v>
      </c>
      <c r="AI64" s="35" t="n">
        <v>11.9</v>
      </c>
      <c r="AJ64" s="35" t="n">
        <v>10.36</v>
      </c>
      <c r="AK64" s="35" t="n">
        <v>0.76</v>
      </c>
      <c r="AL64" s="35" t="n">
        <v>0.76</v>
      </c>
      <c r="AM64" s="35" t="n">
        <v>0.17</v>
      </c>
      <c r="AN64" s="35" t="n">
        <v>0.01</v>
      </c>
      <c r="AO64" s="35" t="n">
        <v>0.19</v>
      </c>
      <c r="AP64" s="35" t="n">
        <v>128.1</v>
      </c>
      <c r="AQ64" s="31" t="n">
        <v>141369300000</v>
      </c>
      <c r="AR64" s="31" t="n">
        <v>188030174800</v>
      </c>
      <c r="AS64" t="inlineStr">
        <is>
          <t>2/6</t>
        </is>
      </c>
      <c r="AT64" t="n">
        <v>33.33</v>
      </c>
      <c r="AW64" s="31" t="n">
        <v>3141540000</v>
      </c>
      <c r="AX64" s="31" t="n">
        <v>3461099700</v>
      </c>
      <c r="AY64" s="31" t="n">
        <v>319559700</v>
      </c>
      <c r="AZ64" s="35" t="n">
        <v>110.17</v>
      </c>
      <c r="BA64">
        <f>HYPERLINK("https://github.com/lottpicker/daily1689/blob/main/summary-v70.txt", "Click view")</f>
        <v/>
      </c>
    </row>
    <row r="65">
      <c r="A65" s="31" t="n">
        <v>57</v>
      </c>
      <c r="B65" s="31" t="inlineStr">
        <is>
          <t>100-369</t>
        </is>
      </c>
      <c r="C65" s="31" t="inlineStr">
        <is>
          <t>270</t>
        </is>
      </c>
      <c r="D65" s="35" t="n">
        <v>133.49</v>
      </c>
      <c r="E65" s="35" t="n">
        <v>47342730200</v>
      </c>
      <c r="F65" s="35" t="n">
        <v>40754</v>
      </c>
      <c r="G65" s="35" t="n">
        <v>3435</v>
      </c>
      <c r="H65" s="35" t="inlineStr">
        <is>
          <t>91/270</t>
        </is>
      </c>
      <c r="I65" s="35" t="n">
        <v>33.7</v>
      </c>
      <c r="J65" s="35" t="inlineStr">
        <is>
          <t>176/270</t>
        </is>
      </c>
      <c r="K65" s="35" t="n">
        <v>65.19</v>
      </c>
      <c r="L65" s="35" t="inlineStr">
        <is>
          <t>94/270</t>
        </is>
      </c>
      <c r="M65" s="35" t="n">
        <v>34.81</v>
      </c>
      <c r="N65" s="35" t="inlineStr">
        <is>
          <t>56/270</t>
        </is>
      </c>
      <c r="O65" s="35" t="n">
        <v>20.74</v>
      </c>
      <c r="P65" s="35" t="inlineStr">
        <is>
          <t>50/270</t>
        </is>
      </c>
      <c r="Q65" s="35" t="n">
        <v>18.52</v>
      </c>
      <c r="R65" s="35" t="inlineStr">
        <is>
          <t>49/270</t>
        </is>
      </c>
      <c r="S65" s="35" t="n">
        <v>18.15</v>
      </c>
      <c r="T65" s="35" t="inlineStr">
        <is>
          <t>26/27</t>
        </is>
      </c>
      <c r="U65" s="35" t="n">
        <v>96.3</v>
      </c>
      <c r="V65" s="35" t="inlineStr">
        <is>
          <t>23/27</t>
        </is>
      </c>
      <c r="W65" s="35" t="n">
        <v>85.19</v>
      </c>
      <c r="X65" s="35" t="n">
        <v>34686</v>
      </c>
      <c r="Y65" s="35" t="n">
        <v>3222</v>
      </c>
      <c r="Z65" s="35" t="n">
        <v>37908</v>
      </c>
      <c r="AA65" s="35" t="n">
        <v>2388</v>
      </c>
      <c r="AB65" s="35" t="n">
        <v>208</v>
      </c>
      <c r="AC65" s="35" t="n">
        <v>2796</v>
      </c>
      <c r="AD65" s="35" t="n">
        <v>45</v>
      </c>
      <c r="AE65" s="35" t="n">
        <v>5</v>
      </c>
      <c r="AF65" s="35" t="n">
        <v>50</v>
      </c>
      <c r="AG65" s="35" t="n">
        <v>128.47</v>
      </c>
      <c r="AH65" s="35" t="n">
        <v>11.93</v>
      </c>
      <c r="AI65" s="35" t="n">
        <v>11.93</v>
      </c>
      <c r="AJ65" s="35" t="n">
        <v>10.36</v>
      </c>
      <c r="AK65" s="35" t="n">
        <v>0.77</v>
      </c>
      <c r="AL65" s="35" t="n">
        <v>0.77</v>
      </c>
      <c r="AM65" s="35" t="n">
        <v>0.17</v>
      </c>
      <c r="AN65" s="35" t="n">
        <v>0.02</v>
      </c>
      <c r="AO65" s="35" t="n">
        <v>0.19</v>
      </c>
      <c r="AP65" s="35" t="n">
        <v>128.03</v>
      </c>
      <c r="AQ65" s="31" t="n">
        <v>141369300000</v>
      </c>
      <c r="AR65" s="31" t="n">
        <v>188712030200</v>
      </c>
      <c r="AS65" t="inlineStr">
        <is>
          <t>1/6</t>
        </is>
      </c>
      <c r="AT65" t="n">
        <v>16.67</v>
      </c>
      <c r="AW65" s="31" t="n">
        <v>3141540000</v>
      </c>
      <c r="AX65" s="31" t="n">
        <v>3380444600</v>
      </c>
      <c r="AY65" s="31" t="n">
        <v>238904600</v>
      </c>
      <c r="AZ65" s="35" t="n">
        <v>107.6</v>
      </c>
      <c r="BA65">
        <f>HYPERLINK("https://github.com/lottpicker/daily1689/blob/main/summary-v57.txt", "Click view")</f>
        <v/>
      </c>
    </row>
    <row r="66">
      <c r="A66" s="31" t="n">
        <v>62</v>
      </c>
      <c r="B66" s="31" t="inlineStr">
        <is>
          <t>100-369</t>
        </is>
      </c>
      <c r="C66" s="31" t="inlineStr">
        <is>
          <t>270</t>
        </is>
      </c>
      <c r="D66" s="35" t="n">
        <v>129.25</v>
      </c>
      <c r="E66" s="35" t="n">
        <v>41347921100</v>
      </c>
      <c r="F66" s="35" t="n">
        <v>40706</v>
      </c>
      <c r="G66" s="35" t="n">
        <v>3405</v>
      </c>
      <c r="H66" s="35" t="inlineStr">
        <is>
          <t>84/270</t>
        </is>
      </c>
      <c r="I66" s="35" t="n">
        <v>31.11</v>
      </c>
      <c r="J66" s="35" t="inlineStr">
        <is>
          <t>179/270</t>
        </is>
      </c>
      <c r="K66" s="35" t="n">
        <v>66.3</v>
      </c>
      <c r="L66" s="35" t="inlineStr">
        <is>
          <t>90/270</t>
        </is>
      </c>
      <c r="M66" s="35" t="n">
        <v>33.33</v>
      </c>
      <c r="N66" s="35" t="inlineStr">
        <is>
          <t>57/270</t>
        </is>
      </c>
      <c r="O66" s="35" t="n">
        <v>21.11</v>
      </c>
      <c r="P66" s="35" t="inlineStr">
        <is>
          <t>48/270</t>
        </is>
      </c>
      <c r="Q66" s="35" t="n">
        <v>17.78</v>
      </c>
      <c r="R66" s="35" t="inlineStr">
        <is>
          <t>44/270</t>
        </is>
      </c>
      <c r="S66" s="35" t="n">
        <v>16.3</v>
      </c>
      <c r="T66" s="35" t="inlineStr">
        <is>
          <t>24/27</t>
        </is>
      </c>
      <c r="U66" s="35" t="n">
        <v>88.89</v>
      </c>
      <c r="V66" s="35" t="inlineStr">
        <is>
          <t>23/27</t>
        </is>
      </c>
      <c r="W66" s="35" t="n">
        <v>85.19</v>
      </c>
      <c r="X66" s="35" t="n">
        <v>34706</v>
      </c>
      <c r="Y66" s="35" t="n">
        <v>3172</v>
      </c>
      <c r="Z66" s="35" t="n">
        <v>37878</v>
      </c>
      <c r="AA66" s="35" t="n">
        <v>2384</v>
      </c>
      <c r="AB66" s="35" t="n">
        <v>229</v>
      </c>
      <c r="AC66" s="35" t="n">
        <v>2785</v>
      </c>
      <c r="AD66" s="35" t="n">
        <v>39</v>
      </c>
      <c r="AE66" s="35" t="n">
        <v>4</v>
      </c>
      <c r="AF66" s="35" t="n">
        <v>43</v>
      </c>
      <c r="AG66" s="35" t="n">
        <v>128.54</v>
      </c>
      <c r="AH66" s="35" t="n">
        <v>11.75</v>
      </c>
      <c r="AI66" s="35" t="n">
        <v>11.75</v>
      </c>
      <c r="AJ66" s="35" t="n">
        <v>10.31</v>
      </c>
      <c r="AK66" s="35" t="n">
        <v>0.85</v>
      </c>
      <c r="AL66" s="35" t="n">
        <v>0.85</v>
      </c>
      <c r="AM66" s="35" t="n">
        <v>0.14</v>
      </c>
      <c r="AN66" s="35" t="n">
        <v>0.01</v>
      </c>
      <c r="AO66" s="35" t="n">
        <v>0.16</v>
      </c>
      <c r="AP66" s="35" t="n">
        <v>128.14</v>
      </c>
      <c r="AQ66" s="31" t="n">
        <v>141369300000</v>
      </c>
      <c r="AR66" s="31" t="n">
        <v>182717221100</v>
      </c>
      <c r="AS66" t="inlineStr">
        <is>
          <t>1/6</t>
        </is>
      </c>
      <c r="AT66" t="n">
        <v>16.67</v>
      </c>
      <c r="AW66" s="31" t="n">
        <v>3141540000</v>
      </c>
      <c r="AX66" s="31" t="n">
        <v>2244032900</v>
      </c>
      <c r="AY66" s="31" t="n">
        <v>-897507100</v>
      </c>
      <c r="AZ66" s="35" t="n">
        <v>71.43000000000001</v>
      </c>
      <c r="BA66">
        <f>HYPERLINK("https://github.com/lottpicker/daily1689/blob/main/summary-v62.txt", "Click view")</f>
        <v/>
      </c>
    </row>
    <row r="67">
      <c r="A67" s="31" t="n">
        <v>67</v>
      </c>
      <c r="B67" s="31" t="inlineStr">
        <is>
          <t>100-369</t>
        </is>
      </c>
      <c r="C67" s="31" t="inlineStr">
        <is>
          <t>270</t>
        </is>
      </c>
      <c r="D67" s="35" t="n">
        <v>133.49</v>
      </c>
      <c r="E67" s="35" t="n">
        <v>47342730200</v>
      </c>
      <c r="F67" s="35" t="n">
        <v>40754</v>
      </c>
      <c r="G67" s="35" t="n">
        <v>3435</v>
      </c>
      <c r="H67" s="35" t="inlineStr">
        <is>
          <t>91/270</t>
        </is>
      </c>
      <c r="I67" s="35" t="n">
        <v>33.7</v>
      </c>
      <c r="J67" s="35" t="inlineStr">
        <is>
          <t>176/270</t>
        </is>
      </c>
      <c r="K67" s="35" t="n">
        <v>65.19</v>
      </c>
      <c r="L67" s="35" t="inlineStr">
        <is>
          <t>94/270</t>
        </is>
      </c>
      <c r="M67" s="35" t="n">
        <v>34.81</v>
      </c>
      <c r="N67" s="35" t="inlineStr">
        <is>
          <t>56/270</t>
        </is>
      </c>
      <c r="O67" s="35" t="n">
        <v>20.74</v>
      </c>
      <c r="P67" s="35" t="inlineStr">
        <is>
          <t>50/270</t>
        </is>
      </c>
      <c r="Q67" s="35" t="n">
        <v>18.52</v>
      </c>
      <c r="R67" s="35" t="inlineStr">
        <is>
          <t>49/270</t>
        </is>
      </c>
      <c r="S67" s="35" t="n">
        <v>18.15</v>
      </c>
      <c r="T67" s="35" t="inlineStr">
        <is>
          <t>26/27</t>
        </is>
      </c>
      <c r="U67" s="35" t="n">
        <v>96.3</v>
      </c>
      <c r="V67" s="35" t="inlineStr">
        <is>
          <t>23/27</t>
        </is>
      </c>
      <c r="W67" s="35" t="n">
        <v>85.19</v>
      </c>
      <c r="X67" s="35" t="n">
        <v>34686</v>
      </c>
      <c r="Y67" s="35" t="n">
        <v>3222</v>
      </c>
      <c r="Z67" s="35" t="n">
        <v>37908</v>
      </c>
      <c r="AA67" s="35" t="n">
        <v>2388</v>
      </c>
      <c r="AB67" s="35" t="n">
        <v>208</v>
      </c>
      <c r="AC67" s="35" t="n">
        <v>2796</v>
      </c>
      <c r="AD67" s="35" t="n">
        <v>45</v>
      </c>
      <c r="AE67" s="35" t="n">
        <v>5</v>
      </c>
      <c r="AF67" s="35" t="n">
        <v>50</v>
      </c>
      <c r="AG67" s="35" t="n">
        <v>128.47</v>
      </c>
      <c r="AH67" s="35" t="n">
        <v>11.93</v>
      </c>
      <c r="AI67" s="35" t="n">
        <v>11.93</v>
      </c>
      <c r="AJ67" s="35" t="n">
        <v>10.36</v>
      </c>
      <c r="AK67" s="35" t="n">
        <v>0.77</v>
      </c>
      <c r="AL67" s="35" t="n">
        <v>0.77</v>
      </c>
      <c r="AM67" s="35" t="n">
        <v>0.17</v>
      </c>
      <c r="AN67" s="35" t="n">
        <v>0.02</v>
      </c>
      <c r="AO67" s="35" t="n">
        <v>0.19</v>
      </c>
      <c r="AP67" s="35" t="n">
        <v>128.03</v>
      </c>
      <c r="AQ67" s="31" t="n">
        <v>141369300000</v>
      </c>
      <c r="AR67" s="31" t="n">
        <v>188712030200</v>
      </c>
      <c r="AS67" t="inlineStr">
        <is>
          <t>1/6</t>
        </is>
      </c>
      <c r="AT67" t="n">
        <v>16.67</v>
      </c>
      <c r="AW67" s="31" t="n">
        <v>3141540000</v>
      </c>
      <c r="AX67" s="31" t="n">
        <v>3380444600</v>
      </c>
      <c r="AY67" s="31" t="n">
        <v>238904600</v>
      </c>
      <c r="AZ67" s="35" t="n">
        <v>107.6</v>
      </c>
      <c r="BA67">
        <f>HYPERLINK("https://github.com/lottpicker/daily1689/blob/main/summary-v67.txt", "Click view")</f>
        <v/>
      </c>
    </row>
    <row r="68">
      <c r="A68" t="n">
        <v>75</v>
      </c>
      <c r="B68" t="inlineStr">
        <is>
          <t>100-369</t>
        </is>
      </c>
      <c r="C68" t="inlineStr">
        <is>
          <t>270</t>
        </is>
      </c>
      <c r="D68" t="n">
        <v>130.11</v>
      </c>
      <c r="E68" t="n">
        <v>42567714900</v>
      </c>
      <c r="F68" t="n">
        <v>40702</v>
      </c>
      <c r="G68" t="n">
        <v>3334</v>
      </c>
      <c r="H68" t="inlineStr">
        <is>
          <t>79/270</t>
        </is>
      </c>
      <c r="I68" t="n">
        <v>29.26</v>
      </c>
      <c r="J68" t="inlineStr">
        <is>
          <t>185/270</t>
        </is>
      </c>
      <c r="K68" t="n">
        <v>68.52</v>
      </c>
      <c r="L68" t="inlineStr">
        <is>
          <t>103/270</t>
        </is>
      </c>
      <c r="M68" t="n">
        <v>38.15</v>
      </c>
      <c r="N68" t="inlineStr">
        <is>
          <t>58/270</t>
        </is>
      </c>
      <c r="O68" t="n">
        <v>21.48</v>
      </c>
      <c r="P68" t="inlineStr">
        <is>
          <t>43/270</t>
        </is>
      </c>
      <c r="Q68" t="n">
        <v>15.93</v>
      </c>
      <c r="R68" t="inlineStr">
        <is>
          <t>43/270</t>
        </is>
      </c>
      <c r="S68" t="n">
        <v>15.93</v>
      </c>
      <c r="T68" t="inlineStr">
        <is>
          <t>25/27</t>
        </is>
      </c>
      <c r="U68" t="n">
        <v>92.59</v>
      </c>
      <c r="V68" t="inlineStr">
        <is>
          <t>23/27</t>
        </is>
      </c>
      <c r="W68" t="n">
        <v>85.19</v>
      </c>
      <c r="X68" t="n">
        <v>34776</v>
      </c>
      <c r="Y68" t="n">
        <v>3091</v>
      </c>
      <c r="Z68" t="n">
        <v>37867</v>
      </c>
      <c r="AA68" t="n">
        <v>2381</v>
      </c>
      <c r="AB68" t="n">
        <v>239</v>
      </c>
      <c r="AC68" t="n">
        <v>2792</v>
      </c>
      <c r="AD68" t="n">
        <v>39</v>
      </c>
      <c r="AE68" t="n">
        <v>4</v>
      </c>
      <c r="AF68" t="n">
        <v>43</v>
      </c>
      <c r="AG68" t="n">
        <v>128.8</v>
      </c>
      <c r="AH68" t="n">
        <v>11.45</v>
      </c>
      <c r="AI68" t="n">
        <v>11.45</v>
      </c>
      <c r="AJ68" t="n">
        <v>10.34</v>
      </c>
      <c r="AK68" t="n">
        <v>0.89</v>
      </c>
      <c r="AL68" t="n">
        <v>0.89</v>
      </c>
      <c r="AM68" t="n">
        <v>0.14</v>
      </c>
      <c r="AN68" t="n">
        <v>0.01</v>
      </c>
      <c r="AO68" t="n">
        <v>0.16</v>
      </c>
      <c r="AP68" t="n">
        <v>128.41</v>
      </c>
      <c r="AQ68" t="n">
        <v>141369300000</v>
      </c>
      <c r="AR68" t="n">
        <v>183937014900</v>
      </c>
      <c r="AS68" t="inlineStr">
        <is>
          <t>4/6</t>
        </is>
      </c>
      <c r="AT68" t="n">
        <v>66.67</v>
      </c>
      <c r="AU68" t="inlineStr">
        <is>
          <t>1/6</t>
        </is>
      </c>
      <c r="AV68" t="n">
        <v>16.67</v>
      </c>
      <c r="AW68" t="n">
        <v>3141540000</v>
      </c>
      <c r="AX68" t="n">
        <v>2823107300</v>
      </c>
      <c r="AY68" t="n">
        <v>-318432700</v>
      </c>
      <c r="AZ68" t="n">
        <v>89.86</v>
      </c>
      <c r="BA68">
        <f>HYPERLINK("https://github.com/lottpicker/daily1689/blob/main/summary-v75.txt", "Click view")</f>
        <v/>
      </c>
    </row>
    <row r="69">
      <c r="A69" t="n">
        <v>76</v>
      </c>
      <c r="B69" t="inlineStr">
        <is>
          <t>300-349</t>
        </is>
      </c>
      <c r="C69" t="inlineStr">
        <is>
          <t>50</t>
        </is>
      </c>
      <c r="D69" t="n">
        <v>56.61</v>
      </c>
      <c r="E69" t="n">
        <v>-186150600</v>
      </c>
      <c r="F69" t="n">
        <v>127</v>
      </c>
      <c r="G69" t="n">
        <v>9</v>
      </c>
      <c r="H69" t="inlineStr">
        <is>
          <t>38/50</t>
        </is>
      </c>
      <c r="I69" t="n">
        <v>76</v>
      </c>
      <c r="J69" t="inlineStr">
        <is>
          <t>11/50</t>
        </is>
      </c>
      <c r="K69" t="n">
        <v>22</v>
      </c>
      <c r="L69" t="inlineStr">
        <is>
          <t>8/50</t>
        </is>
      </c>
      <c r="M69" t="n">
        <v>16</v>
      </c>
      <c r="N69" t="inlineStr">
        <is>
          <t>7/50</t>
        </is>
      </c>
      <c r="O69" t="n">
        <v>14</v>
      </c>
      <c r="P69" t="inlineStr">
        <is>
          <t>6/50</t>
        </is>
      </c>
      <c r="Q69" t="n">
        <v>12</v>
      </c>
      <c r="R69" t="inlineStr">
        <is>
          <t>2/50</t>
        </is>
      </c>
      <c r="S69" t="n">
        <v>4</v>
      </c>
      <c r="T69" t="inlineStr">
        <is>
          <t>1/5</t>
        </is>
      </c>
      <c r="U69" t="n">
        <v>20</v>
      </c>
      <c r="V69" t="n">
        <v>0</v>
      </c>
      <c r="W69" t="n">
        <v>0</v>
      </c>
      <c r="X69" t="n">
        <v>112</v>
      </c>
      <c r="Y69" t="n">
        <v>9</v>
      </c>
      <c r="Z69" t="n">
        <v>121</v>
      </c>
      <c r="AA69" t="n">
        <v>6</v>
      </c>
      <c r="AB69" t="n">
        <v>0</v>
      </c>
      <c r="AC69" t="n">
        <v>6</v>
      </c>
      <c r="AD69" t="n">
        <v>0</v>
      </c>
      <c r="AE69" t="n">
        <v>0</v>
      </c>
      <c r="AF69" t="n">
        <v>0</v>
      </c>
      <c r="AG69" t="n">
        <v>2.24</v>
      </c>
      <c r="AH69" t="n">
        <v>0.18</v>
      </c>
      <c r="AI69" t="n">
        <v>0.18</v>
      </c>
      <c r="AJ69" t="n">
        <v>0.12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2.12</v>
      </c>
      <c r="AQ69" t="n">
        <v>429040000</v>
      </c>
      <c r="AR69" t="n">
        <v>242889400</v>
      </c>
      <c r="AS69" t="inlineStr">
        <is>
          <t>0/1</t>
        </is>
      </c>
      <c r="AT69" t="n">
        <v>0</v>
      </c>
      <c r="AU69" t="inlineStr">
        <is>
          <t>0/1</t>
        </is>
      </c>
      <c r="AV69" t="n">
        <v>0</v>
      </c>
      <c r="AW69" t="n">
        <v>7750000</v>
      </c>
      <c r="AX69" t="n">
        <v>1196000</v>
      </c>
      <c r="AY69" t="n">
        <v>-6554000</v>
      </c>
      <c r="AZ69" t="n">
        <v>15.43</v>
      </c>
      <c r="BA69">
        <f>HYPERLINK("https://github.com/lottpicker/daily1689/blob/main/summary-v76.txt", "Click view")</f>
        <v/>
      </c>
    </row>
    <row r="70">
      <c r="A70" t="n">
        <v>77</v>
      </c>
    </row>
    <row r="71">
      <c r="A71" t="n">
        <v>78</v>
      </c>
    </row>
    <row r="72">
      <c r="A72" t="n">
        <v>79</v>
      </c>
    </row>
    <row r="73">
      <c r="A73" t="n">
        <v>80</v>
      </c>
    </row>
    <row r="74">
      <c r="A74" t="n">
        <v>81</v>
      </c>
    </row>
    <row r="75">
      <c r="A75" t="n">
        <v>82</v>
      </c>
    </row>
    <row r="76">
      <c r="A76" t="n">
        <v>83</v>
      </c>
    </row>
    <row r="77">
      <c r="A77" t="n">
        <v>84</v>
      </c>
    </row>
    <row r="78">
      <c r="A78" t="n">
        <v>85</v>
      </c>
    </row>
    <row r="79">
      <c r="A79" t="n">
        <v>86</v>
      </c>
    </row>
    <row r="80">
      <c r="A80" t="n">
        <v>87</v>
      </c>
    </row>
    <row r="81">
      <c r="A81" t="n">
        <v>88</v>
      </c>
    </row>
    <row r="82">
      <c r="A82" t="n">
        <v>89</v>
      </c>
    </row>
    <row r="83">
      <c r="A83" t="n">
        <v>90</v>
      </c>
    </row>
    <row r="84">
      <c r="A84" t="n">
        <v>91</v>
      </c>
    </row>
    <row r="85">
      <c r="A85" t="n">
        <v>92</v>
      </c>
    </row>
    <row r="86">
      <c r="A86" t="n">
        <v>93</v>
      </c>
    </row>
    <row r="87">
      <c r="A87" t="n">
        <v>94</v>
      </c>
    </row>
    <row r="88">
      <c r="A88" t="n">
        <v>95</v>
      </c>
    </row>
    <row r="89">
      <c r="A89" t="n">
        <v>96</v>
      </c>
    </row>
    <row r="90">
      <c r="A90" t="n">
        <v>97</v>
      </c>
    </row>
    <row r="91">
      <c r="A91" t="n">
        <v>98</v>
      </c>
    </row>
    <row r="92">
      <c r="A92" t="n">
        <v>99</v>
      </c>
    </row>
    <row r="93">
      <c r="A93" t="n">
        <v>200</v>
      </c>
      <c r="B93" t="inlineStr">
        <is>
          <t>38,54,70,96,146,168,192,266,290,340</t>
        </is>
      </c>
      <c r="C93" t="inlineStr">
        <is>
          <t>10</t>
        </is>
      </c>
      <c r="D93" t="n">
        <v>79.42</v>
      </c>
      <c r="E93" t="n">
        <v>-45196000</v>
      </c>
      <c r="F93" t="n">
        <v>302</v>
      </c>
      <c r="G93" t="n">
        <v>23</v>
      </c>
      <c r="H93" t="inlineStr">
        <is>
          <t>5/10</t>
        </is>
      </c>
      <c r="I93" t="n">
        <v>50</v>
      </c>
      <c r="J93" t="inlineStr">
        <is>
          <t>2/10</t>
        </is>
      </c>
      <c r="K93" t="n">
        <v>20</v>
      </c>
      <c r="L93" t="inlineStr">
        <is>
          <t>1/10</t>
        </is>
      </c>
      <c r="M93" t="n">
        <v>10</v>
      </c>
      <c r="N93" t="inlineStr">
        <is>
          <t>1/10</t>
        </is>
      </c>
      <c r="O93" t="n">
        <v>10</v>
      </c>
      <c r="P93" t="inlineStr">
        <is>
          <t>0/10</t>
        </is>
      </c>
      <c r="Q93" t="n">
        <v>0</v>
      </c>
      <c r="R93" t="inlineStr">
        <is>
          <t>0/10</t>
        </is>
      </c>
      <c r="S93" t="n">
        <v>0</v>
      </c>
      <c r="T93" t="inlineStr">
        <is>
          <t>0/1</t>
        </is>
      </c>
      <c r="U93" t="n">
        <v>0</v>
      </c>
      <c r="V93" t="n">
        <v>0</v>
      </c>
      <c r="W93" t="n">
        <v>0</v>
      </c>
      <c r="X93" t="n">
        <v>268</v>
      </c>
      <c r="Y93" t="n">
        <v>23</v>
      </c>
      <c r="Z93" t="n">
        <v>291</v>
      </c>
      <c r="AA93" t="n">
        <v>11</v>
      </c>
      <c r="AB93" t="n">
        <v>0</v>
      </c>
      <c r="AC93" t="n">
        <v>11</v>
      </c>
      <c r="AD93" t="n">
        <v>0</v>
      </c>
      <c r="AE93" t="n">
        <v>0</v>
      </c>
      <c r="AF93" t="n">
        <v>0</v>
      </c>
      <c r="AG93" t="n">
        <v>26.8</v>
      </c>
      <c r="AH93" t="n">
        <v>2.3</v>
      </c>
      <c r="AI93" t="n">
        <v>2.3</v>
      </c>
      <c r="AJ93" t="n">
        <v>1.1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180.7</v>
      </c>
      <c r="AQ93" t="n">
        <v>219600000</v>
      </c>
      <c r="AR93" t="n">
        <v>174404000</v>
      </c>
      <c r="AS93" t="inlineStr">
        <is>
          <t>2/10</t>
        </is>
      </c>
      <c r="AT93" t="n">
        <v>20</v>
      </c>
      <c r="AU93" t="inlineStr">
        <is>
          <t>2/10</t>
        </is>
      </c>
      <c r="AV93" t="n">
        <v>20</v>
      </c>
      <c r="AW93" t="n">
        <v>219600000</v>
      </c>
      <c r="AX93" t="n">
        <v>174404000</v>
      </c>
      <c r="AY93" t="n">
        <v>-45196000</v>
      </c>
      <c r="AZ93" t="n">
        <v>79.42</v>
      </c>
      <c r="BA93">
        <f>HYPERLINK("https://github.com/lottpicker/daily1689/blob/main/summary-v200.txt", "Click view")</f>
        <v/>
      </c>
    </row>
    <row r="94">
      <c r="A94" t="n">
        <v>201</v>
      </c>
      <c r="B94" t="inlineStr">
        <is>
          <t>38,54,70,96,146,168,192,266,290,340</t>
        </is>
      </c>
      <c r="C94" t="inlineStr">
        <is>
          <t>10</t>
        </is>
      </c>
      <c r="D94" t="n">
        <v>605.8099999999999</v>
      </c>
      <c r="E94" t="n">
        <v>856037000</v>
      </c>
      <c r="F94" t="n">
        <v>268</v>
      </c>
      <c r="G94" t="n">
        <v>23</v>
      </c>
      <c r="H94" t="inlineStr">
        <is>
          <t>5/10</t>
        </is>
      </c>
      <c r="I94" t="n">
        <v>50</v>
      </c>
      <c r="J94" t="inlineStr">
        <is>
          <t>4/10</t>
        </is>
      </c>
      <c r="K94" t="n">
        <v>40</v>
      </c>
      <c r="L94" t="inlineStr">
        <is>
          <t>3/10</t>
        </is>
      </c>
      <c r="M94" t="n">
        <v>30</v>
      </c>
      <c r="N94" t="inlineStr">
        <is>
          <t>2/10</t>
        </is>
      </c>
      <c r="O94" t="n">
        <v>20</v>
      </c>
      <c r="P94" t="inlineStr">
        <is>
          <t>2/10</t>
        </is>
      </c>
      <c r="Q94" t="n">
        <v>20</v>
      </c>
      <c r="R94" t="inlineStr">
        <is>
          <t>2/10</t>
        </is>
      </c>
      <c r="S94" t="n">
        <v>20</v>
      </c>
      <c r="T94" t="inlineStr">
        <is>
          <t>1/1</t>
        </is>
      </c>
      <c r="U94" t="n">
        <v>100</v>
      </c>
      <c r="V94" t="inlineStr">
        <is>
          <t>1/1</t>
        </is>
      </c>
      <c r="W94" t="n">
        <v>100</v>
      </c>
      <c r="X94" t="n">
        <v>232</v>
      </c>
      <c r="Y94" t="n">
        <v>21</v>
      </c>
      <c r="Z94" t="n">
        <v>253</v>
      </c>
      <c r="AA94" t="n">
        <v>8</v>
      </c>
      <c r="AB94" t="n">
        <v>2</v>
      </c>
      <c r="AC94" t="n">
        <v>14</v>
      </c>
      <c r="AD94" t="n">
        <v>1</v>
      </c>
      <c r="AE94" t="n">
        <v>0</v>
      </c>
      <c r="AF94" t="n">
        <v>1</v>
      </c>
      <c r="AG94" t="n">
        <v>23.2</v>
      </c>
      <c r="AH94" t="n">
        <v>2.1</v>
      </c>
      <c r="AI94" t="n">
        <v>2.1</v>
      </c>
      <c r="AJ94" t="n">
        <v>1.4</v>
      </c>
      <c r="AK94" t="n">
        <v>0.2</v>
      </c>
      <c r="AL94" t="n">
        <v>0.2</v>
      </c>
      <c r="AM94" t="n">
        <v>0.1</v>
      </c>
      <c r="AN94" t="n">
        <v>0</v>
      </c>
      <c r="AO94" t="n">
        <v>0.1</v>
      </c>
      <c r="AP94" t="n">
        <v>138.8</v>
      </c>
      <c r="AQ94" t="n">
        <v>169240000</v>
      </c>
      <c r="AR94" t="n">
        <v>1025277000</v>
      </c>
      <c r="AS94" t="inlineStr">
        <is>
          <t>4/10</t>
        </is>
      </c>
      <c r="AT94" t="n">
        <v>40</v>
      </c>
      <c r="AU94" t="inlineStr">
        <is>
          <t>3/10</t>
        </is>
      </c>
      <c r="AV94" t="n">
        <v>30</v>
      </c>
      <c r="AW94" t="n">
        <v>169240000</v>
      </c>
      <c r="AX94" t="n">
        <v>1025277000</v>
      </c>
      <c r="AY94" t="n">
        <v>856037000</v>
      </c>
      <c r="AZ94" t="n">
        <v>605.8099999999999</v>
      </c>
      <c r="BA94">
        <f>HYPERLINK("https://github.com/lottpicker/daily1689/blob/main/summary-v201.txt", "Click view")</f>
        <v/>
      </c>
    </row>
    <row r="95">
      <c r="A95" t="n">
        <v>202</v>
      </c>
      <c r="B95" t="inlineStr">
        <is>
          <t>38,54,70,96,146,168,192,266,290,340</t>
        </is>
      </c>
      <c r="C95" t="inlineStr">
        <is>
          <t>10</t>
        </is>
      </c>
      <c r="D95" t="n">
        <v>91.81999999999999</v>
      </c>
      <c r="E95" t="n">
        <v>-12661000</v>
      </c>
      <c r="F95" t="n">
        <v>249</v>
      </c>
      <c r="G95" t="n">
        <v>27</v>
      </c>
      <c r="H95" t="inlineStr">
        <is>
          <t>4/10</t>
        </is>
      </c>
      <c r="I95" t="n">
        <v>40</v>
      </c>
      <c r="J95" t="inlineStr">
        <is>
          <t>4/10</t>
        </is>
      </c>
      <c r="K95" t="n">
        <v>40</v>
      </c>
      <c r="L95" t="inlineStr">
        <is>
          <t>1/10</t>
        </is>
      </c>
      <c r="M95" t="n">
        <v>10</v>
      </c>
      <c r="N95" t="inlineStr">
        <is>
          <t>1/10</t>
        </is>
      </c>
      <c r="O95" t="n">
        <v>10</v>
      </c>
      <c r="P95" t="inlineStr">
        <is>
          <t>1/10</t>
        </is>
      </c>
      <c r="Q95" t="n">
        <v>10</v>
      </c>
      <c r="R95" t="inlineStr">
        <is>
          <t>1/10</t>
        </is>
      </c>
      <c r="S95" t="n">
        <v>10</v>
      </c>
      <c r="T95" t="inlineStr">
        <is>
          <t>1/1</t>
        </is>
      </c>
      <c r="U95" t="n">
        <v>100</v>
      </c>
      <c r="V95" t="n">
        <v>0</v>
      </c>
      <c r="W95" t="n">
        <v>0</v>
      </c>
      <c r="X95" t="n">
        <v>216</v>
      </c>
      <c r="Y95" t="n">
        <v>27</v>
      </c>
      <c r="Z95" t="n">
        <v>243</v>
      </c>
      <c r="AA95" t="n">
        <v>6</v>
      </c>
      <c r="AB95" t="n">
        <v>0</v>
      </c>
      <c r="AC95" t="n">
        <v>6</v>
      </c>
      <c r="AD95" t="n">
        <v>0</v>
      </c>
      <c r="AE95" t="n">
        <v>0</v>
      </c>
      <c r="AF95" t="n">
        <v>0</v>
      </c>
      <c r="AG95" t="n">
        <v>21.6</v>
      </c>
      <c r="AH95" t="n">
        <v>2.7</v>
      </c>
      <c r="AI95" t="n">
        <v>2.7</v>
      </c>
      <c r="AJ95" t="n">
        <v>0.6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126.4</v>
      </c>
      <c r="AQ95" t="n">
        <v>154700000</v>
      </c>
      <c r="AR95" t="n">
        <v>142039000</v>
      </c>
      <c r="AS95" t="inlineStr">
        <is>
          <t>4/10</t>
        </is>
      </c>
      <c r="AT95" t="n">
        <v>40</v>
      </c>
      <c r="AU95" t="inlineStr">
        <is>
          <t>2/10</t>
        </is>
      </c>
      <c r="AV95" t="n">
        <v>20</v>
      </c>
      <c r="AW95" t="n">
        <v>154700000</v>
      </c>
      <c r="AX95" t="n">
        <v>142039000</v>
      </c>
      <c r="AY95" t="n">
        <v>-12661000</v>
      </c>
      <c r="AZ95" t="n">
        <v>91.81999999999999</v>
      </c>
      <c r="BA95">
        <f>HYPERLINK("https://github.com/lottpicker/daily1689/blob/main/summary-v202.txt", "Click view")</f>
        <v/>
      </c>
    </row>
    <row r="96">
      <c r="A96" t="n">
        <v>203</v>
      </c>
      <c r="B96" t="inlineStr">
        <is>
          <t>38,54,70,96,146,168,192,266,290,340</t>
        </is>
      </c>
      <c r="C96" t="inlineStr">
        <is>
          <t>10</t>
        </is>
      </c>
      <c r="D96" t="n">
        <v>569.99</v>
      </c>
      <c r="E96" t="n">
        <v>795411000</v>
      </c>
      <c r="F96" t="n">
        <v>268</v>
      </c>
      <c r="G96" t="n">
        <v>22</v>
      </c>
      <c r="H96" t="inlineStr">
        <is>
          <t>3/10</t>
        </is>
      </c>
      <c r="I96" t="n">
        <v>30</v>
      </c>
      <c r="J96" t="inlineStr">
        <is>
          <t>6/10</t>
        </is>
      </c>
      <c r="K96" t="n">
        <v>60</v>
      </c>
      <c r="L96" t="inlineStr">
        <is>
          <t>5/10</t>
        </is>
      </c>
      <c r="M96" t="n">
        <v>50</v>
      </c>
      <c r="N96" t="inlineStr">
        <is>
          <t>3/10</t>
        </is>
      </c>
      <c r="O96" t="n">
        <v>30</v>
      </c>
      <c r="P96" t="inlineStr">
        <is>
          <t>3/10</t>
        </is>
      </c>
      <c r="Q96" t="n">
        <v>30</v>
      </c>
      <c r="R96" t="inlineStr">
        <is>
          <t>2/10</t>
        </is>
      </c>
      <c r="S96" t="n">
        <v>20</v>
      </c>
      <c r="T96" t="inlineStr">
        <is>
          <t>1/1</t>
        </is>
      </c>
      <c r="U96" t="n">
        <v>100</v>
      </c>
      <c r="V96" t="inlineStr">
        <is>
          <t>1/1</t>
        </is>
      </c>
      <c r="W96" t="n">
        <v>100</v>
      </c>
      <c r="X96" t="n">
        <v>232</v>
      </c>
      <c r="Y96" t="n">
        <v>21</v>
      </c>
      <c r="Z96" t="n">
        <v>253</v>
      </c>
      <c r="AA96" t="n">
        <v>9</v>
      </c>
      <c r="AB96" t="n">
        <v>1</v>
      </c>
      <c r="AC96" t="n">
        <v>14</v>
      </c>
      <c r="AD96" t="n">
        <v>1</v>
      </c>
      <c r="AE96" t="n">
        <v>0</v>
      </c>
      <c r="AF96" t="n">
        <v>1</v>
      </c>
      <c r="AG96" t="n">
        <v>23.2</v>
      </c>
      <c r="AH96" t="n">
        <v>2.1</v>
      </c>
      <c r="AI96" t="n">
        <v>2.1</v>
      </c>
      <c r="AJ96" t="n">
        <v>1.4</v>
      </c>
      <c r="AK96" t="n">
        <v>0.1</v>
      </c>
      <c r="AL96" t="n">
        <v>0.1</v>
      </c>
      <c r="AM96" t="n">
        <v>0.1</v>
      </c>
      <c r="AN96" t="n">
        <v>0</v>
      </c>
      <c r="AO96" t="n">
        <v>0.1</v>
      </c>
      <c r="AP96" t="n">
        <v>139</v>
      </c>
      <c r="AQ96" t="n">
        <v>169240000</v>
      </c>
      <c r="AR96" t="n">
        <v>964651000</v>
      </c>
      <c r="AS96" t="inlineStr">
        <is>
          <t>6/10</t>
        </is>
      </c>
      <c r="AT96" t="n">
        <v>60</v>
      </c>
      <c r="AU96" t="inlineStr">
        <is>
          <t>6/10</t>
        </is>
      </c>
      <c r="AV96" t="n">
        <v>60</v>
      </c>
      <c r="AW96" t="n">
        <v>169240000</v>
      </c>
      <c r="AX96" t="n">
        <v>964651000</v>
      </c>
      <c r="AY96" t="n">
        <v>795411000</v>
      </c>
      <c r="AZ96" t="n">
        <v>569.99</v>
      </c>
      <c r="BA96">
        <f>HYPERLINK("https://github.com/lottpicker/daily1689/blob/main/summary-v203.txt", "Click view")</f>
        <v/>
      </c>
    </row>
    <row r="97">
      <c r="A97" t="n">
        <v>204</v>
      </c>
      <c r="B97" t="inlineStr">
        <is>
          <t>38,54,70,96,146,168,192,266,290,340</t>
        </is>
      </c>
      <c r="C97" t="inlineStr">
        <is>
          <t>10</t>
        </is>
      </c>
      <c r="D97" t="n">
        <v>749</v>
      </c>
      <c r="E97" t="n">
        <v>732914000</v>
      </c>
      <c r="F97" t="n">
        <v>182</v>
      </c>
      <c r="G97" t="n">
        <v>12</v>
      </c>
      <c r="H97" t="inlineStr">
        <is>
          <t>5/10</t>
        </is>
      </c>
      <c r="I97" t="n">
        <v>50</v>
      </c>
      <c r="J97" t="inlineStr">
        <is>
          <t>5/10</t>
        </is>
      </c>
      <c r="K97" t="n">
        <v>50</v>
      </c>
      <c r="L97" t="inlineStr">
        <is>
          <t>3/10</t>
        </is>
      </c>
      <c r="M97" t="n">
        <v>30</v>
      </c>
      <c r="N97" t="inlineStr">
        <is>
          <t>2/10</t>
        </is>
      </c>
      <c r="O97" t="n">
        <v>20</v>
      </c>
      <c r="P97" t="inlineStr">
        <is>
          <t>2/10</t>
        </is>
      </c>
      <c r="Q97" t="n">
        <v>20</v>
      </c>
      <c r="R97" t="inlineStr">
        <is>
          <t>1/10</t>
        </is>
      </c>
      <c r="S97" t="n">
        <v>10</v>
      </c>
      <c r="T97" t="inlineStr">
        <is>
          <t>1/1</t>
        </is>
      </c>
      <c r="U97" t="n">
        <v>100</v>
      </c>
      <c r="V97" t="inlineStr">
        <is>
          <t>1/1</t>
        </is>
      </c>
      <c r="W97" t="n">
        <v>100</v>
      </c>
      <c r="X97" t="n">
        <v>159</v>
      </c>
      <c r="Y97" t="n">
        <v>12</v>
      </c>
      <c r="Z97" t="n">
        <v>171</v>
      </c>
      <c r="AA97" t="n">
        <v>6</v>
      </c>
      <c r="AB97" t="n">
        <v>0</v>
      </c>
      <c r="AC97" t="n">
        <v>10</v>
      </c>
      <c r="AD97" t="n">
        <v>1</v>
      </c>
      <c r="AE97" t="n">
        <v>0</v>
      </c>
      <c r="AF97" t="n">
        <v>1</v>
      </c>
      <c r="AG97" t="n">
        <v>15.9</v>
      </c>
      <c r="AH97" t="n">
        <v>1.2</v>
      </c>
      <c r="AI97" t="n">
        <v>1.2</v>
      </c>
      <c r="AJ97" t="n">
        <v>1</v>
      </c>
      <c r="AK97" t="n">
        <v>0</v>
      </c>
      <c r="AL97" t="n">
        <v>0</v>
      </c>
      <c r="AM97" t="n">
        <v>0.1</v>
      </c>
      <c r="AN97" t="n">
        <v>0</v>
      </c>
      <c r="AO97" t="n">
        <v>0.1</v>
      </c>
      <c r="AP97" t="n">
        <v>93</v>
      </c>
      <c r="AQ97" t="n">
        <v>112930000</v>
      </c>
      <c r="AR97" t="n">
        <v>845844000</v>
      </c>
      <c r="AS97" t="inlineStr">
        <is>
          <t>5/10</t>
        </is>
      </c>
      <c r="AT97" t="n">
        <v>50</v>
      </c>
      <c r="AU97" t="inlineStr">
        <is>
          <t>3/10</t>
        </is>
      </c>
      <c r="AV97" t="n">
        <v>30</v>
      </c>
      <c r="AW97" t="n">
        <v>112930000</v>
      </c>
      <c r="AX97" t="n">
        <v>845844000</v>
      </c>
      <c r="AY97" t="n">
        <v>732914000</v>
      </c>
      <c r="AZ97" t="n">
        <v>749</v>
      </c>
      <c r="BA97">
        <f>HYPERLINK("https://github.com/lottpicker/daily1689/blob/main/summary-v204.txt", "Click view")</f>
        <v/>
      </c>
    </row>
    <row r="98">
      <c r="A98" t="n">
        <v>205</v>
      </c>
      <c r="B98" t="inlineStr">
        <is>
          <t>38,54,70,96,146,168,192,266,290,340</t>
        </is>
      </c>
      <c r="C98" t="inlineStr">
        <is>
          <t>10</t>
        </is>
      </c>
      <c r="D98" t="n">
        <v>585.55</v>
      </c>
      <c r="E98" t="n">
        <v>710844000</v>
      </c>
      <c r="F98" t="n">
        <v>207</v>
      </c>
      <c r="G98" t="n">
        <v>14</v>
      </c>
      <c r="H98" t="inlineStr">
        <is>
          <t>8/10</t>
        </is>
      </c>
      <c r="I98" t="n">
        <v>80</v>
      </c>
      <c r="J98" t="inlineStr">
        <is>
          <t>2/10</t>
        </is>
      </c>
      <c r="K98" t="n">
        <v>20</v>
      </c>
      <c r="L98" t="inlineStr">
        <is>
          <t>2/10</t>
        </is>
      </c>
      <c r="M98" t="n">
        <v>20</v>
      </c>
      <c r="N98" t="inlineStr">
        <is>
          <t>2/10</t>
        </is>
      </c>
      <c r="O98" t="n">
        <v>20</v>
      </c>
      <c r="P98" t="inlineStr">
        <is>
          <t>1/10</t>
        </is>
      </c>
      <c r="Q98" t="n">
        <v>10</v>
      </c>
      <c r="R98" t="inlineStr">
        <is>
          <t>1/10</t>
        </is>
      </c>
      <c r="S98" t="n">
        <v>10</v>
      </c>
      <c r="T98" t="inlineStr">
        <is>
          <t>1/1</t>
        </is>
      </c>
      <c r="U98" t="n">
        <v>100</v>
      </c>
      <c r="V98" t="inlineStr">
        <is>
          <t>1/1</t>
        </is>
      </c>
      <c r="W98" t="n">
        <v>100</v>
      </c>
      <c r="X98" t="n">
        <v>182</v>
      </c>
      <c r="Y98" t="n">
        <v>14</v>
      </c>
      <c r="Z98" t="n">
        <v>196</v>
      </c>
      <c r="AA98" t="n">
        <v>6</v>
      </c>
      <c r="AB98" t="n">
        <v>0</v>
      </c>
      <c r="AC98" t="n">
        <v>10</v>
      </c>
      <c r="AD98" t="n">
        <v>1</v>
      </c>
      <c r="AE98" t="n">
        <v>0</v>
      </c>
      <c r="AF98" t="n">
        <v>1</v>
      </c>
      <c r="AG98" t="n">
        <v>18.2</v>
      </c>
      <c r="AH98" t="n">
        <v>1.4</v>
      </c>
      <c r="AI98" t="n">
        <v>1.4</v>
      </c>
      <c r="AJ98" t="n">
        <v>1</v>
      </c>
      <c r="AK98" t="n">
        <v>0</v>
      </c>
      <c r="AL98" t="n">
        <v>0</v>
      </c>
      <c r="AM98" t="n">
        <v>0.1</v>
      </c>
      <c r="AN98" t="n">
        <v>0</v>
      </c>
      <c r="AO98" t="n">
        <v>0.1</v>
      </c>
      <c r="AP98" t="n">
        <v>120.6</v>
      </c>
      <c r="AQ98" t="n">
        <v>146400000</v>
      </c>
      <c r="AR98" t="n">
        <v>857244000</v>
      </c>
      <c r="AS98" t="inlineStr">
        <is>
          <t>2/10</t>
        </is>
      </c>
      <c r="AT98" t="n">
        <v>20</v>
      </c>
      <c r="AU98" t="inlineStr">
        <is>
          <t>2/10</t>
        </is>
      </c>
      <c r="AV98" t="n">
        <v>20</v>
      </c>
      <c r="AW98" t="n">
        <v>146400000</v>
      </c>
      <c r="AX98" t="n">
        <v>857244000</v>
      </c>
      <c r="AY98" t="n">
        <v>710844000</v>
      </c>
      <c r="AZ98" t="n">
        <v>585.55</v>
      </c>
      <c r="BA98">
        <f>HYPERLINK("https://github.com/lottpicker/daily1689/blob/main/summary-v205.txt", "Click view")</f>
        <v/>
      </c>
    </row>
    <row r="99">
      <c r="A99" t="n">
        <v>206</v>
      </c>
    </row>
    <row r="100">
      <c r="A100" t="n">
        <v>207</v>
      </c>
    </row>
    <row r="101">
      <c r="A101" t="n">
        <v>208</v>
      </c>
    </row>
    <row r="102">
      <c r="A102" t="n">
        <v>209</v>
      </c>
    </row>
    <row r="103">
      <c r="A103" t="n">
        <v>210</v>
      </c>
    </row>
    <row r="104">
      <c r="A104" t="n">
        <v>211</v>
      </c>
    </row>
    <row r="105">
      <c r="A105" t="n">
        <v>212</v>
      </c>
    </row>
    <row r="106">
      <c r="A106" t="n">
        <v>213</v>
      </c>
    </row>
    <row r="107">
      <c r="A107" t="n">
        <v>214</v>
      </c>
    </row>
    <row r="108">
      <c r="A108" t="n">
        <v>215</v>
      </c>
    </row>
    <row r="109">
      <c r="A109" t="n">
        <v>216</v>
      </c>
    </row>
    <row r="110">
      <c r="A110" t="n">
        <v>217</v>
      </c>
    </row>
    <row r="111">
      <c r="A111" t="n">
        <v>218</v>
      </c>
    </row>
    <row r="112">
      <c r="A112" t="n">
        <v>219</v>
      </c>
    </row>
    <row r="113">
      <c r="A113" t="n">
        <v>220</v>
      </c>
    </row>
    <row r="114">
      <c r="A114" t="n">
        <v>221</v>
      </c>
    </row>
    <row r="115">
      <c r="A115" t="n">
        <v>222</v>
      </c>
    </row>
    <row r="116">
      <c r="A116" t="n">
        <v>223</v>
      </c>
    </row>
    <row r="117">
      <c r="A117" t="n">
        <v>224</v>
      </c>
    </row>
    <row r="118">
      <c r="A118" t="n">
        <v>225</v>
      </c>
    </row>
    <row r="119">
      <c r="A119" t="n">
        <v>226</v>
      </c>
    </row>
    <row r="120">
      <c r="A120" t="n">
        <v>227</v>
      </c>
    </row>
    <row r="121">
      <c r="A121" t="n">
        <v>228</v>
      </c>
    </row>
    <row r="122">
      <c r="A122" t="n">
        <v>229</v>
      </c>
    </row>
    <row r="123">
      <c r="A123" t="n">
        <v>230</v>
      </c>
    </row>
    <row r="124">
      <c r="A124" t="n">
        <v>231</v>
      </c>
    </row>
    <row r="125">
      <c r="A125" t="n">
        <v>232</v>
      </c>
    </row>
    <row r="126">
      <c r="A126" t="n">
        <v>233</v>
      </c>
    </row>
    <row r="127">
      <c r="A127" t="n">
        <v>234</v>
      </c>
    </row>
    <row r="128">
      <c r="A128" t="n">
        <v>235</v>
      </c>
    </row>
    <row r="129">
      <c r="A129" t="n">
        <v>236</v>
      </c>
    </row>
    <row r="130">
      <c r="A130" t="n">
        <v>237</v>
      </c>
    </row>
    <row r="131">
      <c r="A131" t="n">
        <v>238</v>
      </c>
    </row>
    <row r="132">
      <c r="A132" t="n">
        <v>239</v>
      </c>
    </row>
    <row r="133">
      <c r="A133" t="n">
        <v>240</v>
      </c>
    </row>
    <row r="134">
      <c r="A134" t="n">
        <v>241</v>
      </c>
    </row>
    <row r="135">
      <c r="A135" t="n">
        <v>242</v>
      </c>
    </row>
    <row r="136">
      <c r="A136" t="n">
        <v>243</v>
      </c>
    </row>
    <row r="137">
      <c r="A137" t="n">
        <v>244</v>
      </c>
    </row>
    <row r="138">
      <c r="A138" t="n">
        <v>245</v>
      </c>
    </row>
    <row r="139">
      <c r="A139" t="n">
        <v>246</v>
      </c>
    </row>
    <row r="140">
      <c r="A140" t="n">
        <v>247</v>
      </c>
    </row>
    <row r="141">
      <c r="A141" t="n">
        <v>248</v>
      </c>
    </row>
    <row r="142">
      <c r="A142" t="n">
        <v>249</v>
      </c>
    </row>
    <row r="143">
      <c r="A143" t="n">
        <v>250</v>
      </c>
    </row>
    <row r="144">
      <c r="A144" t="n">
        <v>6</v>
      </c>
      <c r="B144" t="inlineStr">
        <is>
          <t>38,54,70,96,146,168,192,266,290,340,392</t>
        </is>
      </c>
      <c r="C144" t="inlineStr">
        <is>
          <t>11</t>
        </is>
      </c>
      <c r="D144" t="n">
        <v>134.89</v>
      </c>
      <c r="E144" t="n">
        <v>13318736400</v>
      </c>
      <c r="F144" t="n">
        <v>16731</v>
      </c>
      <c r="G144" t="n">
        <v>1379</v>
      </c>
      <c r="H144" t="inlineStr">
        <is>
          <t>0/11</t>
        </is>
      </c>
      <c r="I144" t="n">
        <v>0</v>
      </c>
      <c r="J144" t="inlineStr">
        <is>
          <t>11/11</t>
        </is>
      </c>
      <c r="K144" t="n">
        <v>100</v>
      </c>
      <c r="L144" t="inlineStr">
        <is>
          <t>10/11</t>
        </is>
      </c>
      <c r="M144" t="n">
        <v>90.91</v>
      </c>
      <c r="N144" t="inlineStr">
        <is>
          <t>3/11</t>
        </is>
      </c>
      <c r="O144" t="n">
        <v>27.27</v>
      </c>
      <c r="P144" t="inlineStr">
        <is>
          <t>0/11</t>
        </is>
      </c>
      <c r="Q144" t="n">
        <v>0</v>
      </c>
      <c r="R144" t="inlineStr">
        <is>
          <t>0/11</t>
        </is>
      </c>
      <c r="S144" t="n">
        <v>0</v>
      </c>
      <c r="T144" t="inlineStr">
        <is>
          <t>1/1</t>
        </is>
      </c>
      <c r="U144" t="n">
        <v>100</v>
      </c>
      <c r="V144" t="inlineStr">
        <is>
          <t>1/1</t>
        </is>
      </c>
      <c r="W144" t="n">
        <v>100</v>
      </c>
      <c r="X144" t="n">
        <v>14522</v>
      </c>
      <c r="Y144" t="n">
        <v>1306</v>
      </c>
      <c r="Z144" t="n">
        <v>15828</v>
      </c>
      <c r="AA144" t="n">
        <v>771</v>
      </c>
      <c r="AB144" t="n">
        <v>72</v>
      </c>
      <c r="AC144" t="n">
        <v>891</v>
      </c>
      <c r="AD144" t="n">
        <v>11</v>
      </c>
      <c r="AE144" t="n">
        <v>1</v>
      </c>
      <c r="AF144" t="n">
        <v>12</v>
      </c>
      <c r="AG144" t="n">
        <v>1320.18</v>
      </c>
      <c r="AH144" t="n">
        <v>118.73</v>
      </c>
      <c r="AI144" t="n">
        <v>118.73</v>
      </c>
      <c r="AJ144" t="n">
        <v>81</v>
      </c>
      <c r="AK144" t="n">
        <v>6.55</v>
      </c>
      <c r="AL144" t="n">
        <v>6.55</v>
      </c>
      <c r="AM144" t="n">
        <v>1</v>
      </c>
      <c r="AN144" t="n">
        <v>0.09</v>
      </c>
      <c r="AO144" t="n">
        <v>1.09</v>
      </c>
      <c r="AP144" t="n">
        <v>4695</v>
      </c>
      <c r="AQ144" t="n">
        <v>38177040000</v>
      </c>
      <c r="AR144" t="n">
        <v>51495776400</v>
      </c>
      <c r="AS144" t="inlineStr">
        <is>
          <t>11/11</t>
        </is>
      </c>
      <c r="AT144" t="n">
        <v>100</v>
      </c>
      <c r="AU144" t="inlineStr">
        <is>
          <t>11/11</t>
        </is>
      </c>
      <c r="AV144" t="n">
        <v>100</v>
      </c>
      <c r="AW144" t="n">
        <v>38177040000</v>
      </c>
      <c r="AX144" t="n">
        <v>51495776400</v>
      </c>
      <c r="AY144" t="n">
        <v>13318736400</v>
      </c>
      <c r="AZ144" t="n">
        <v>134.89</v>
      </c>
      <c r="BA144">
        <f>HYPERLINK("https://github.com/lottpicker/daily1689/blob/main/summary-v6.txt", "Click view")</f>
        <v/>
      </c>
    </row>
    <row r="145">
      <c r="A145" t="n">
        <v>7</v>
      </c>
      <c r="B145" t="inlineStr">
        <is>
          <t>38,54,70,96,146,168,192,266,290,340,392</t>
        </is>
      </c>
      <c r="C145" t="inlineStr">
        <is>
          <t>11</t>
        </is>
      </c>
      <c r="D145" t="n">
        <v>136.4</v>
      </c>
      <c r="E145" t="n">
        <v>13896120800</v>
      </c>
      <c r="F145" t="n">
        <v>16731</v>
      </c>
      <c r="G145" t="n">
        <v>1419</v>
      </c>
      <c r="H145" t="inlineStr">
        <is>
          <t>0/11</t>
        </is>
      </c>
      <c r="I145" t="n">
        <v>0</v>
      </c>
      <c r="J145" t="inlineStr">
        <is>
          <t>11/11</t>
        </is>
      </c>
      <c r="K145" t="n">
        <v>100</v>
      </c>
      <c r="L145" t="inlineStr">
        <is>
          <t>11/11</t>
        </is>
      </c>
      <c r="M145" t="n">
        <v>100</v>
      </c>
      <c r="N145" t="inlineStr">
        <is>
          <t>3/11</t>
        </is>
      </c>
      <c r="O145" t="n">
        <v>27.27</v>
      </c>
      <c r="P145" t="inlineStr">
        <is>
          <t>1/11</t>
        </is>
      </c>
      <c r="Q145" t="n">
        <v>9.09</v>
      </c>
      <c r="R145" t="inlineStr">
        <is>
          <t>0/11</t>
        </is>
      </c>
      <c r="S145" t="n">
        <v>0</v>
      </c>
      <c r="T145" t="inlineStr">
        <is>
          <t>1/1</t>
        </is>
      </c>
      <c r="U145" t="n">
        <v>100</v>
      </c>
      <c r="V145" t="inlineStr">
        <is>
          <t>1/1</t>
        </is>
      </c>
      <c r="W145" t="n">
        <v>100</v>
      </c>
      <c r="X145" t="n">
        <v>14483</v>
      </c>
      <c r="Y145" t="n">
        <v>1345</v>
      </c>
      <c r="Z145" t="n">
        <v>15828</v>
      </c>
      <c r="AA145" t="n">
        <v>769</v>
      </c>
      <c r="AB145" t="n">
        <v>74</v>
      </c>
      <c r="AC145" t="n">
        <v>891</v>
      </c>
      <c r="AD145" t="n">
        <v>12</v>
      </c>
      <c r="AE145" t="n">
        <v>0</v>
      </c>
      <c r="AF145" t="n">
        <v>12</v>
      </c>
      <c r="AG145" t="n">
        <v>1316.64</v>
      </c>
      <c r="AH145" t="n">
        <v>122.27</v>
      </c>
      <c r="AI145" t="n">
        <v>122.27</v>
      </c>
      <c r="AJ145" t="n">
        <v>81</v>
      </c>
      <c r="AK145" t="n">
        <v>6.73</v>
      </c>
      <c r="AL145" t="n">
        <v>6.73</v>
      </c>
      <c r="AM145" t="n">
        <v>1.09</v>
      </c>
      <c r="AN145" t="n">
        <v>0</v>
      </c>
      <c r="AO145" t="n">
        <v>1.09</v>
      </c>
      <c r="AP145" t="n">
        <v>4691.36</v>
      </c>
      <c r="AQ145" t="n">
        <v>38177040000</v>
      </c>
      <c r="AR145" t="n">
        <v>52073160800</v>
      </c>
      <c r="AS145" t="inlineStr">
        <is>
          <t>11/11</t>
        </is>
      </c>
      <c r="AT145" t="n">
        <v>100</v>
      </c>
      <c r="AU145" t="inlineStr">
        <is>
          <t>11/11</t>
        </is>
      </c>
      <c r="AV145" t="n">
        <v>100</v>
      </c>
      <c r="AW145" t="n">
        <v>38177040000</v>
      </c>
      <c r="AX145" t="n">
        <v>52073160800</v>
      </c>
      <c r="AY145" t="n">
        <v>13896120800</v>
      </c>
      <c r="AZ145" t="n">
        <v>136.4</v>
      </c>
      <c r="BA145">
        <f>HYPERLINK("https://github.com/lottpicker/daily1689/blob/main/summary-v7.txt", "Click view")</f>
        <v/>
      </c>
    </row>
    <row r="146">
      <c r="A146" t="n">
        <v>8</v>
      </c>
      <c r="B146" t="inlineStr">
        <is>
          <t>38,54,70,96,146,168,192,266,290,340,392</t>
        </is>
      </c>
      <c r="C146" t="inlineStr">
        <is>
          <t>11</t>
        </is>
      </c>
      <c r="D146" t="n">
        <v>132.39</v>
      </c>
      <c r="E146" t="n">
        <v>12364389500</v>
      </c>
      <c r="F146" t="n">
        <v>17115</v>
      </c>
      <c r="G146" t="n">
        <v>1450</v>
      </c>
      <c r="H146" t="inlineStr">
        <is>
          <t>0/11</t>
        </is>
      </c>
      <c r="I146" t="n">
        <v>0</v>
      </c>
      <c r="J146" t="inlineStr">
        <is>
          <t>11/11</t>
        </is>
      </c>
      <c r="K146" t="n">
        <v>100</v>
      </c>
      <c r="L146" t="inlineStr">
        <is>
          <t>11/11</t>
        </is>
      </c>
      <c r="M146" t="n">
        <v>100</v>
      </c>
      <c r="N146" t="inlineStr">
        <is>
          <t>1/11</t>
        </is>
      </c>
      <c r="O146" t="n">
        <v>9.09</v>
      </c>
      <c r="P146" t="inlineStr">
        <is>
          <t>0/11</t>
        </is>
      </c>
      <c r="Q146" t="n">
        <v>0</v>
      </c>
      <c r="R146" t="inlineStr">
        <is>
          <t>0/11</t>
        </is>
      </c>
      <c r="S146" t="n">
        <v>0</v>
      </c>
      <c r="T146" t="inlineStr">
        <is>
          <t>1/1</t>
        </is>
      </c>
      <c r="U146" t="n">
        <v>100</v>
      </c>
      <c r="V146" t="inlineStr">
        <is>
          <t>1/1</t>
        </is>
      </c>
      <c r="W146" t="n">
        <v>100</v>
      </c>
      <c r="X146" t="n">
        <v>14797</v>
      </c>
      <c r="Y146" t="n">
        <v>1384</v>
      </c>
      <c r="Z146" t="n">
        <v>16181</v>
      </c>
      <c r="AA146" t="n">
        <v>814</v>
      </c>
      <c r="AB146" t="n">
        <v>65</v>
      </c>
      <c r="AC146" t="n">
        <v>923</v>
      </c>
      <c r="AD146" t="n">
        <v>10</v>
      </c>
      <c r="AE146" t="n">
        <v>1</v>
      </c>
      <c r="AF146" t="n">
        <v>11</v>
      </c>
      <c r="AG146" t="n">
        <v>1345.18</v>
      </c>
      <c r="AH146" t="n">
        <v>125.82</v>
      </c>
      <c r="AI146" t="n">
        <v>125.82</v>
      </c>
      <c r="AJ146" t="n">
        <v>83.91</v>
      </c>
      <c r="AK146" t="n">
        <v>5.91</v>
      </c>
      <c r="AL146" t="n">
        <v>5.91</v>
      </c>
      <c r="AM146" t="n">
        <v>0.91</v>
      </c>
      <c r="AN146" t="n">
        <v>0.09</v>
      </c>
      <c r="AO146" t="n">
        <v>1</v>
      </c>
      <c r="AP146" t="n">
        <v>4688.55</v>
      </c>
      <c r="AQ146" t="n">
        <v>38177040000</v>
      </c>
      <c r="AR146" t="n">
        <v>50541429500</v>
      </c>
      <c r="AS146" t="inlineStr">
        <is>
          <t>11/11</t>
        </is>
      </c>
      <c r="AT146" t="n">
        <v>100</v>
      </c>
      <c r="AU146" t="inlineStr">
        <is>
          <t>11/11</t>
        </is>
      </c>
      <c r="AV146" t="n">
        <v>100</v>
      </c>
      <c r="AW146" t="n">
        <v>38177040000</v>
      </c>
      <c r="AX146" t="n">
        <v>50541429500</v>
      </c>
      <c r="AY146" t="n">
        <v>12364389500</v>
      </c>
      <c r="AZ146" t="n">
        <v>132.39</v>
      </c>
      <c r="BA146">
        <f>HYPERLINK("https://github.com/lottpicker/daily1689/blob/main/summary-v8.txt", "Click view")</f>
        <v/>
      </c>
    </row>
    <row r="147">
      <c r="A147" t="n">
        <v>9</v>
      </c>
      <c r="B147" t="inlineStr">
        <is>
          <t>38,54,70,96,146,168,192,266,290,340,392</t>
        </is>
      </c>
      <c r="C147" t="inlineStr">
        <is>
          <t>11</t>
        </is>
      </c>
      <c r="D147" t="n">
        <v>134.11</v>
      </c>
      <c r="E147" t="n">
        <v>13023860000</v>
      </c>
      <c r="F147" t="n">
        <v>16804</v>
      </c>
      <c r="G147" t="n">
        <v>1359</v>
      </c>
      <c r="H147" t="inlineStr">
        <is>
          <t>0/11</t>
        </is>
      </c>
      <c r="I147" t="n">
        <v>0</v>
      </c>
      <c r="J147" t="inlineStr">
        <is>
          <t>11/11</t>
        </is>
      </c>
      <c r="K147" t="n">
        <v>100</v>
      </c>
      <c r="L147" t="inlineStr">
        <is>
          <t>10/11</t>
        </is>
      </c>
      <c r="M147" t="n">
        <v>90.91</v>
      </c>
      <c r="N147" t="inlineStr">
        <is>
          <t>3/11</t>
        </is>
      </c>
      <c r="O147" t="n">
        <v>27.27</v>
      </c>
      <c r="P147" t="inlineStr">
        <is>
          <t>0/11</t>
        </is>
      </c>
      <c r="Q147" t="n">
        <v>0</v>
      </c>
      <c r="R147" t="inlineStr">
        <is>
          <t>0/11</t>
        </is>
      </c>
      <c r="S147" t="n">
        <v>0</v>
      </c>
      <c r="T147" t="inlineStr">
        <is>
          <t>1/1</t>
        </is>
      </c>
      <c r="U147" t="n">
        <v>100</v>
      </c>
      <c r="V147" t="inlineStr">
        <is>
          <t>1/1</t>
        </is>
      </c>
      <c r="W147" t="n">
        <v>100</v>
      </c>
      <c r="X147" t="n">
        <v>14616</v>
      </c>
      <c r="Y147" t="n">
        <v>1278</v>
      </c>
      <c r="Z147" t="n">
        <v>15894</v>
      </c>
      <c r="AA147" t="n">
        <v>775</v>
      </c>
      <c r="AB147" t="n">
        <v>80</v>
      </c>
      <c r="AC147" t="n">
        <v>899</v>
      </c>
      <c r="AD147" t="n">
        <v>10</v>
      </c>
      <c r="AE147" t="n">
        <v>1</v>
      </c>
      <c r="AF147" t="n">
        <v>11</v>
      </c>
      <c r="AG147" t="n">
        <v>1328.73</v>
      </c>
      <c r="AH147" t="n">
        <v>116.18</v>
      </c>
      <c r="AI147" t="n">
        <v>116.18</v>
      </c>
      <c r="AJ147" t="n">
        <v>81.73</v>
      </c>
      <c r="AK147" t="n">
        <v>7.27</v>
      </c>
      <c r="AL147" t="n">
        <v>7.27</v>
      </c>
      <c r="AM147" t="n">
        <v>0.91</v>
      </c>
      <c r="AN147" t="n">
        <v>0.09</v>
      </c>
      <c r="AO147" t="n">
        <v>1</v>
      </c>
      <c r="AP147" t="n">
        <v>4696.82</v>
      </c>
      <c r="AQ147" t="n">
        <v>38177040000</v>
      </c>
      <c r="AR147" t="n">
        <v>51200900000</v>
      </c>
      <c r="AS147" t="inlineStr">
        <is>
          <t>11/11</t>
        </is>
      </c>
      <c r="AT147" t="n">
        <v>100</v>
      </c>
      <c r="AU147" t="inlineStr">
        <is>
          <t>11/11</t>
        </is>
      </c>
      <c r="AV147" t="n">
        <v>100</v>
      </c>
      <c r="AW147" t="n">
        <v>38177040000</v>
      </c>
      <c r="AX147" t="n">
        <v>51200900000</v>
      </c>
      <c r="AY147" t="n">
        <v>13023860000</v>
      </c>
      <c r="AZ147" t="n">
        <v>134.11</v>
      </c>
      <c r="BA147">
        <f>HYPERLINK("https://github.com/lottpicker/daily1689/blob/main/summary-v9.txt", "Click view")</f>
        <v/>
      </c>
    </row>
    <row r="148">
      <c r="A148" t="n">
        <v>300</v>
      </c>
      <c r="B148" t="inlineStr">
        <is>
          <t>300-396</t>
        </is>
      </c>
      <c r="C148" t="inlineStr">
        <is>
          <t>97</t>
        </is>
      </c>
      <c r="D148" t="n">
        <v>108.8</v>
      </c>
      <c r="E148" t="n">
        <v>129985000</v>
      </c>
      <c r="F148" t="n">
        <v>615</v>
      </c>
      <c r="G148" t="n">
        <v>57</v>
      </c>
      <c r="H148" t="inlineStr">
        <is>
          <t>52/97</t>
        </is>
      </c>
      <c r="I148" t="n">
        <v>53.61</v>
      </c>
      <c r="J148" t="inlineStr">
        <is>
          <t>39/97</t>
        </is>
      </c>
      <c r="K148" t="n">
        <v>40.21</v>
      </c>
      <c r="L148" t="inlineStr">
        <is>
          <t>20/97</t>
        </is>
      </c>
      <c r="M148" t="n">
        <v>20.62</v>
      </c>
      <c r="N148" t="inlineStr">
        <is>
          <t>12/97</t>
        </is>
      </c>
      <c r="O148" t="n">
        <v>12.37</v>
      </c>
      <c r="P148" t="inlineStr">
        <is>
          <t>10/97</t>
        </is>
      </c>
      <c r="Q148" t="n">
        <v>10.31</v>
      </c>
      <c r="R148" t="inlineStr">
        <is>
          <t>6/97</t>
        </is>
      </c>
      <c r="S148" t="n">
        <v>6.19</v>
      </c>
      <c r="T148" t="inlineStr">
        <is>
          <t>3/9</t>
        </is>
      </c>
      <c r="U148" t="n">
        <v>33.33</v>
      </c>
      <c r="V148" t="inlineStr">
        <is>
          <t>3/9</t>
        </is>
      </c>
      <c r="W148" t="n">
        <v>33.33</v>
      </c>
      <c r="X148" t="n">
        <v>526</v>
      </c>
      <c r="Y148" t="n">
        <v>53</v>
      </c>
      <c r="Z148" t="n">
        <v>579</v>
      </c>
      <c r="AA148" t="n">
        <v>32</v>
      </c>
      <c r="AB148" t="n">
        <v>4</v>
      </c>
      <c r="AC148" t="n">
        <v>36</v>
      </c>
      <c r="AD148" t="n">
        <v>0</v>
      </c>
      <c r="AE148" t="n">
        <v>0</v>
      </c>
      <c r="AF148" t="n">
        <v>0</v>
      </c>
      <c r="AG148" t="n">
        <v>5.42</v>
      </c>
      <c r="AH148" t="n">
        <v>0.55</v>
      </c>
      <c r="AI148" t="n">
        <v>0.55</v>
      </c>
      <c r="AJ148" t="n">
        <v>0.37</v>
      </c>
      <c r="AK148" t="n">
        <v>0.04</v>
      </c>
      <c r="AL148" t="n">
        <v>0.04</v>
      </c>
      <c r="AM148" t="n">
        <v>0</v>
      </c>
      <c r="AN148" t="n">
        <v>0</v>
      </c>
      <c r="AO148" t="n">
        <v>0</v>
      </c>
      <c r="AP148" t="n">
        <v>20.59</v>
      </c>
      <c r="AQ148" t="n">
        <v>1476480000</v>
      </c>
      <c r="AR148" t="n">
        <v>1606465000</v>
      </c>
      <c r="AS148" t="inlineStr">
        <is>
          <t>2/2</t>
        </is>
      </c>
      <c r="AT148" t="n">
        <v>100</v>
      </c>
      <c r="AU148" t="inlineStr">
        <is>
          <t>2/2</t>
        </is>
      </c>
      <c r="AV148" t="n">
        <v>100</v>
      </c>
      <c r="AW148" t="n">
        <v>29940000</v>
      </c>
      <c r="AX148" t="n">
        <v>36491000</v>
      </c>
      <c r="AY148" t="n">
        <v>6551000</v>
      </c>
      <c r="AZ148" t="n">
        <v>121.88</v>
      </c>
      <c r="BA148">
        <f>HYPERLINK("https://github.com/lottpicker/daily1689/blob/main/summary-v300.txt", "Click view")</f>
        <v/>
      </c>
    </row>
  </sheetData>
  <autoFilter ref="A2:BD2">
    <sortState ref="A3:BD143">
      <sortCondition descending="1" ref="AT2"/>
    </sortState>
  </autoFilter>
  <mergeCells count="6">
    <mergeCell ref="AD1:AF1"/>
    <mergeCell ref="AA1:AC1"/>
    <mergeCell ref="AS1:AZ1"/>
    <mergeCell ref="X1:Z1"/>
    <mergeCell ref="AG1:AP1"/>
    <mergeCell ref="T1:W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2026-02-09T05:36:03Z</dcterms:modified>
  <cp:lastModifiedBy>Admin</cp:lastModifiedBy>
</cp:coreProperties>
</file>