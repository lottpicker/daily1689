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57B4B42B-95EF-4C4A-9422-ACF0B9228436}" xr6:coauthVersionLast="41" xr6:coauthVersionMax="41" xr10:uidLastSave="{00000000-0000-0000-0000-000000000000}"/>
  <bookViews>
    <workbookView xWindow="-110" yWindow="-110" windowWidth="38620" windowHeight="21100" tabRatio="386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Sheet1!$A$2:$AV$2</definedName>
  </definedNames>
  <calcPr calcId="191029"/>
</workbook>
</file>

<file path=xl/calcChain.xml><?xml version="1.0" encoding="utf-8"?>
<calcChain xmlns="http://schemas.openxmlformats.org/spreadsheetml/2006/main">
  <c r="I2" i="2" l="1"/>
  <c r="G2" i="2"/>
  <c r="F2" i="2"/>
  <c r="I1" i="2"/>
  <c r="G1" i="2"/>
  <c r="F1" i="2"/>
  <c r="AS6" i="1"/>
  <c r="AS11" i="1"/>
  <c r="AS52" i="1"/>
  <c r="AS63" i="1"/>
  <c r="AS58" i="1"/>
  <c r="AS31" i="1"/>
  <c r="AS32" i="1"/>
  <c r="AS45" i="1"/>
  <c r="AS50" i="1"/>
  <c r="AS33" i="1"/>
  <c r="AS37" i="1"/>
  <c r="AS42" i="1"/>
  <c r="AS44" i="1"/>
  <c r="AS9" i="1"/>
  <c r="AS23" i="1"/>
  <c r="AS47" i="1"/>
  <c r="AS51" i="1"/>
  <c r="AS22" i="1"/>
  <c r="AS46" i="1"/>
  <c r="AS30" i="1"/>
  <c r="AS53" i="1"/>
  <c r="AS27" i="1"/>
  <c r="AS39" i="1"/>
  <c r="AS16" i="1"/>
  <c r="AS35" i="1"/>
  <c r="AS14" i="1"/>
  <c r="AS40" i="1"/>
  <c r="AS55" i="1"/>
  <c r="AS38" i="1"/>
  <c r="AS60" i="1"/>
  <c r="AS48" i="1"/>
  <c r="AS57" i="1"/>
  <c r="AS41" i="1"/>
  <c r="AS59" i="1"/>
  <c r="AS54" i="1"/>
  <c r="AS20" i="1"/>
  <c r="AS29" i="1"/>
  <c r="AS34" i="1"/>
  <c r="AS19" i="1"/>
  <c r="AS49" i="1"/>
  <c r="AS13" i="1"/>
  <c r="AS26" i="1"/>
  <c r="AS18" i="1"/>
  <c r="AS24" i="1"/>
  <c r="AS12" i="1"/>
  <c r="AS43" i="1"/>
  <c r="AS36" i="1"/>
  <c r="AS17" i="1"/>
  <c r="AS5" i="1"/>
  <c r="AS8" i="1"/>
  <c r="AS28" i="1"/>
  <c r="AS21" i="1"/>
  <c r="AS4" i="1"/>
  <c r="AS25" i="1"/>
  <c r="AS3" i="1"/>
  <c r="AS7" i="1"/>
  <c r="AS15" i="1"/>
  <c r="AS10" i="1"/>
  <c r="AS56" i="1"/>
  <c r="AS62" i="1"/>
  <c r="AS61" i="1"/>
</calcChain>
</file>

<file path=xl/sharedStrings.xml><?xml version="1.0" encoding="utf-8"?>
<sst xmlns="http://schemas.openxmlformats.org/spreadsheetml/2006/main" count="2382" uniqueCount="141">
  <si>
    <t>CHU KỲ 10 KỲ</t>
  </si>
  <si>
    <t>Trúng 3</t>
  </si>
  <si>
    <t>Trúng 4</t>
  </si>
  <si>
    <t>Trúng 5</t>
  </si>
  <si>
    <t>Trung bình/Kỳ</t>
  </si>
  <si>
    <t>Kịch bản
#</t>
  </si>
  <si>
    <t>Từ-Đến</t>
  </si>
  <si>
    <t>Số kỳ</t>
  </si>
  <si>
    <t>% thu hồi</t>
  </si>
  <si>
    <t>Lãi/Lỗ</t>
  </si>
  <si>
    <t>Tất cả vé&gt;=3</t>
  </si>
  <si>
    <t>Tất cả  +1</t>
  </si>
  <si>
    <t>Thu 
&lt;80%</t>
  </si>
  <si>
    <t>Tỉ lệ
&lt;80%</t>
  </si>
  <si>
    <t>Thu 
&gt;90%</t>
  </si>
  <si>
    <t>Tỉ lệ
&gt;90%</t>
  </si>
  <si>
    <t>Số kỳ thu hồi
 &gt;=120%</t>
  </si>
  <si>
    <t>Tỉ lệ  kỳ  
thu  
 &gt;=120%</t>
  </si>
  <si>
    <t>Số kỳ thu hồi
 &gt;=140%</t>
  </si>
  <si>
    <t>Tỉ lệ  kỳ  thu  
 &gt;=140%</t>
  </si>
  <si>
    <t>Số kỳ thu hồi
 &gt;=160%</t>
  </si>
  <si>
    <t>Tỉ lệ  kỳ  thu  
 &gt;=160%</t>
  </si>
  <si>
    <t>Số chu kỳ 10 kỳ thu hồi
 &gt;=90%</t>
  </si>
  <si>
    <t>Tỉ lệ chu kỳ 10 kỳ 
thu hồi 
10 &gt;=90%</t>
  </si>
  <si>
    <t>Số chu kỳ 10 kỳ thu hồi
 &gt;=100%</t>
  </si>
  <si>
    <t>Tỉ lệ chu kỳ 10 kỳ 
thu hồi 
10 &gt;=100%</t>
  </si>
  <si>
    <t>3+</t>
  </si>
  <si>
    <t>Tổng  3</t>
  </si>
  <si>
    <t>4+</t>
  </si>
  <si>
    <t>Tổng 4</t>
  </si>
  <si>
    <t>5+</t>
  </si>
  <si>
    <t>Tổng 5</t>
  </si>
  <si>
    <t>#3</t>
  </si>
  <si>
    <t>#4</t>
  </si>
  <si>
    <t>#5</t>
  </si>
  <si>
    <t>+</t>
  </si>
  <si>
    <t>Chi</t>
  </si>
  <si>
    <t>Thu</t>
  </si>
  <si>
    <t>Link chi tiết</t>
  </si>
  <si>
    <t>100-369</t>
  </si>
  <si>
    <t>270</t>
  </si>
  <si>
    <t>97/270</t>
  </si>
  <si>
    <t>157/270</t>
  </si>
  <si>
    <t>111/270</t>
  </si>
  <si>
    <t>83/270</t>
  </si>
  <si>
    <t>27/27</t>
  </si>
  <si>
    <t>25/27</t>
  </si>
  <si>
    <t>91/270</t>
  </si>
  <si>
    <t>165/270</t>
  </si>
  <si>
    <t>110/270</t>
  </si>
  <si>
    <t>72/270</t>
  </si>
  <si>
    <t>26/27</t>
  </si>
  <si>
    <t>80/270</t>
  </si>
  <si>
    <t>186/270</t>
  </si>
  <si>
    <t>104/270</t>
  </si>
  <si>
    <t>63/270</t>
  </si>
  <si>
    <t>82/270</t>
  </si>
  <si>
    <t>184/270</t>
  </si>
  <si>
    <t>99/270</t>
  </si>
  <si>
    <t>61/270</t>
  </si>
  <si>
    <t>81/270</t>
  </si>
  <si>
    <t>187/270</t>
  </si>
  <si>
    <t>103/270</t>
  </si>
  <si>
    <t>57/270</t>
  </si>
  <si>
    <t>66/270</t>
  </si>
  <si>
    <t>197/270</t>
  </si>
  <si>
    <t>55/270</t>
  </si>
  <si>
    <t>178/270</t>
  </si>
  <si>
    <t>95/270</t>
  </si>
  <si>
    <t>58/270</t>
  </si>
  <si>
    <t>70/270</t>
  </si>
  <si>
    <t>196/270</t>
  </si>
  <si>
    <t>24/27</t>
  </si>
  <si>
    <t>22/27</t>
  </si>
  <si>
    <t>84/270</t>
  </si>
  <si>
    <t>180/270</t>
  </si>
  <si>
    <t>177/270</t>
  </si>
  <si>
    <t>74/270</t>
  </si>
  <si>
    <t>52/270</t>
  </si>
  <si>
    <t>193/270</t>
  </si>
  <si>
    <t>100/270</t>
  </si>
  <si>
    <t>182/270</t>
  </si>
  <si>
    <t>106/270</t>
  </si>
  <si>
    <t>90/270</t>
  </si>
  <si>
    <t>175/270</t>
  </si>
  <si>
    <t>92/270</t>
  </si>
  <si>
    <t>172/270</t>
  </si>
  <si>
    <t>98/270</t>
  </si>
  <si>
    <t>23/27</t>
  </si>
  <si>
    <t>101/270</t>
  </si>
  <si>
    <t>53/270</t>
  </si>
  <si>
    <t>85/270</t>
  </si>
  <si>
    <t>93/270</t>
  </si>
  <si>
    <t>185/270</t>
  </si>
  <si>
    <t>169/270</t>
  </si>
  <si>
    <t>54/270</t>
  </si>
  <si>
    <t>176/270</t>
  </si>
  <si>
    <t>89/270</t>
  </si>
  <si>
    <t>166/270</t>
  </si>
  <si>
    <t>102/270</t>
  </si>
  <si>
    <t>163/270</t>
  </si>
  <si>
    <t>96/270</t>
  </si>
  <si>
    <t>56/270</t>
  </si>
  <si>
    <t>174/270</t>
  </si>
  <si>
    <t>170/270</t>
  </si>
  <si>
    <t>94/270</t>
  </si>
  <si>
    <t>48/270</t>
  </si>
  <si>
    <t>21/27</t>
  </si>
  <si>
    <t>87/270</t>
  </si>
  <si>
    <t>183/270</t>
  </si>
  <si>
    <t>20/27</t>
  </si>
  <si>
    <t>88/270</t>
  </si>
  <si>
    <t>44/270</t>
  </si>
  <si>
    <t>167/270</t>
  </si>
  <si>
    <t>49/270</t>
  </si>
  <si>
    <t>86/270</t>
  </si>
  <si>
    <t>50/270</t>
  </si>
  <si>
    <t>46/270</t>
  </si>
  <si>
    <t>168/270</t>
  </si>
  <si>
    <t>179/270</t>
  </si>
  <si>
    <t>79/270</t>
  </si>
  <si>
    <t>43/270</t>
  </si>
  <si>
    <t>171/270</t>
  </si>
  <si>
    <t>40/270</t>
  </si>
  <si>
    <t>42/270</t>
  </si>
  <si>
    <t>19/27</t>
  </si>
  <si>
    <t>41/270</t>
  </si>
  <si>
    <t>38/270</t>
  </si>
  <si>
    <t>164/270</t>
  </si>
  <si>
    <t>112/270</t>
  </si>
  <si>
    <t>18/27</t>
  </si>
  <si>
    <t>35/270</t>
  </si>
  <si>
    <t>75/270</t>
  </si>
  <si>
    <t>188/270</t>
  </si>
  <si>
    <t>100-350</t>
  </si>
  <si>
    <t>251</t>
  </si>
  <si>
    <t>131421090000</t>
  </si>
  <si>
    <t>176344126840.0</t>
  </si>
  <si>
    <t>81/251</t>
  </si>
  <si>
    <t>Số kỳ thu hồi
 &gt;=200%</t>
  </si>
  <si>
    <t>Tỉ lệ  kỳ  thu  
 &gt;=200%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</si>
</sst>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00"/>
  </numFmts>
  <fonts count="6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/>
    <xf numFmtId="0" fontId="5" fillId="0" borderId="0"/>
  </cellStyleXfs>
  <cellXfs count="4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1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 wrapText="1"/>
    </xf>
    <xf numFmtId="164" fontId="2" fillId="0" borderId="0" xfId="1" applyNumberFormat="1"/>
    <xf numFmtId="0" fontId="3" fillId="10" borderId="0" xfId="0" applyFont="1" applyFill="1"/>
    <xf numFmtId="0" fontId="3" fillId="11" borderId="0" xfId="0" applyFont="1" applyFill="1"/>
    <xf numFmtId="0" fontId="0" fillId="12" borderId="0" xfId="0" applyFill="1"/>
    <xf numFmtId="164" fontId="3" fillId="10" borderId="0" xfId="1" applyNumberFormat="1" applyFont="1" applyFill="1"/>
    <xf numFmtId="164" fontId="1" fillId="7" borderId="0" xfId="1" applyNumberFormat="1" applyFont="1" applyFill="1" applyAlignment="1">
      <alignment horizontal="center" vertical="center"/>
    </xf>
    <xf numFmtId="0" fontId="1" fillId="14" borderId="0" xfId="0" applyFont="1" applyFill="1" applyAlignment="1">
      <alignment horizontal="center" vertical="center" wrapText="1"/>
    </xf>
    <xf numFmtId="0" fontId="1" fillId="15" borderId="0" xfId="0" applyFont="1" applyFill="1" applyAlignment="1">
      <alignment horizontal="center" vertical="center" wrapText="1"/>
    </xf>
    <xf numFmtId="0" fontId="4" fillId="13" borderId="0" xfId="0" applyFont="1" applyFill="1" applyAlignment="1">
      <alignment horizontal="center" vertical="center" wrapText="1"/>
    </xf>
    <xf numFmtId="164" fontId="3" fillId="11" borderId="0" xfId="1" applyNumberFormat="1" applyFont="1" applyFill="1"/>
    <xf numFmtId="2" fontId="3" fillId="10" borderId="0" xfId="0" applyNumberFormat="1" applyFont="1" applyFill="1"/>
    <xf numFmtId="0" fontId="1" fillId="4" borderId="0" xfId="0" applyFont="1" applyFill="1" applyAlignment="1">
      <alignment horizontal="center" vertical="center"/>
    </xf>
    <xf numFmtId="0" fontId="5" fillId="0" borderId="0" xfId="2"/>
    <xf numFmtId="0" fontId="1" fillId="6" borderId="0" xfId="0" applyFont="1" applyFill="1" applyAlignment="1">
      <alignment horizontal="center" vertical="center" wrapText="1"/>
    </xf>
    <xf numFmtId="0" fontId="4" fillId="12" borderId="0" xfId="0" applyFont="1" applyFill="1"/>
    <xf numFmtId="2" fontId="4" fillId="12" borderId="0" xfId="0" applyNumberFormat="1" applyFont="1" applyFill="1"/>
    <xf numFmtId="0" fontId="0" fillId="16" borderId="0" xfId="0" applyFill="1"/>
    <xf numFmtId="2" fontId="3" fillId="11" borderId="0" xfId="0" applyNumberFormat="1" applyFont="1" applyFill="1"/>
    <xf numFmtId="0" fontId="0" fillId="0" borderId="0" xfId="0"/>
    <xf numFmtId="2" fontId="0" fillId="0" borderId="0" xfId="0" applyNumberFormat="1"/>
    <xf numFmtId="0" fontId="0" fillId="15" borderId="0" xfId="0" applyFill="1"/>
    <xf numFmtId="43" fontId="2" fillId="0" borderId="0" xfId="1"/>
    <xf numFmtId="43" fontId="3" fillId="11" borderId="0" xfId="1" applyFont="1" applyFill="1"/>
    <xf numFmtId="43" fontId="3" fillId="10" borderId="0" xfId="1" applyFont="1" applyFill="1"/>
    <xf numFmtId="43" fontId="4" fillId="12" borderId="0" xfId="1" applyFont="1" applyFill="1"/>
    <xf numFmtId="165" fontId="0" fillId="0" borderId="0" xfId="0" applyNumberFormat="1"/>
    <xf numFmtId="0" fontId="1" fillId="3" borderId="0" xfId="0" applyFont="1" applyFill="1" applyAlignment="1">
      <alignment horizontal="center"/>
    </xf>
    <xf numFmtId="0" fontId="0" fillId="0" borderId="0" xfId="0"/>
    <xf numFmtId="0" fontId="1" fillId="4" borderId="0" xfId="0" applyFont="1" applyFill="1" applyAlignment="1">
      <alignment horizontal="center"/>
    </xf>
    <xf numFmtId="2" fontId="0" fillId="0" borderId="0" xfId="0" applyNumberFormat="1"/>
    <xf numFmtId="0" fontId="1" fillId="2" borderId="0" xfId="0" applyFon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1" fillId="17" borderId="0" xfId="0" applyFont="1" applyFill="1" applyAlignment="1">
      <alignment horizontal="center" vertical="center"/>
    </xf>
    <xf numFmtId="43" fontId="3" fillId="10" borderId="0" xfId="1" applyNumberFormat="1" applyFont="1" applyFill="1"/>
    <xf numFmtId="43" fontId="3" fillId="10" borderId="0" xfId="0" applyNumberFormat="1" applyFont="1" applyFill="1"/>
    <xf numFmtId="43" fontId="3" fillId="11" borderId="0" xfId="1" applyNumberFormat="1" applyFont="1" applyFill="1"/>
    <xf numFmtId="43" fontId="3" fillId="11" borderId="0" xfId="0" applyNumberFormat="1" applyFont="1" applyFill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98"/>
  <sheetViews>
    <sheetView tabSelected="1" workbookViewId="0">
      <pane xSplit="5" ySplit="2" topLeftCell="F14" activePane="bottomRight" state="frozen"/>
      <selection pane="topRight" activeCell="F1" sqref="F1"/>
      <selection pane="bottomLeft" activeCell="A3" sqref="A3"/>
      <selection pane="bottomRight" activeCell="S25" sqref="S25"/>
    </sheetView>
  </sheetViews>
  <sheetFormatPr defaultRowHeight="14.5" x14ac:dyDescent="0.35"/>
  <cols>
    <col min="2" max="2" width="9" style="30" customWidth="1"/>
    <col min="3" max="3" width="8.36328125" style="30" customWidth="1"/>
    <col min="4" max="4" width="16.453125" style="30" customWidth="1"/>
    <col min="5" max="5" width="18.7265625" style="12" customWidth="1"/>
    <col min="6" max="6" width="11.6328125" style="30" customWidth="1"/>
    <col min="7" max="7" width="14.1796875" style="30" customWidth="1"/>
    <col min="8" max="8" width="9" style="30" customWidth="1"/>
    <col min="9" max="11" width="9.1796875" style="30" customWidth="1"/>
    <col min="12" max="19" width="16.90625" style="30" customWidth="1"/>
    <col min="20" max="20" width="17.81640625" style="30" customWidth="1"/>
    <col min="21" max="23" width="16.90625" style="30" customWidth="1"/>
    <col min="24" max="28" width="9.26953125" style="30" customWidth="1"/>
    <col min="29" max="29" width="9.26953125" style="31" customWidth="1"/>
    <col min="30" max="32" width="9.26953125" style="30" customWidth="1"/>
    <col min="33" max="33" width="8.453125" style="30" customWidth="1"/>
    <col min="34" max="41" width="6.453125" style="30" customWidth="1"/>
    <col min="42" max="42" width="8" style="30" customWidth="1"/>
    <col min="43" max="43" width="25.7265625" style="12" customWidth="1"/>
    <col min="44" max="44" width="18.7265625" style="12" customWidth="1"/>
    <col min="45" max="45" width="17.54296875" style="30" customWidth="1"/>
    <col min="46" max="48" width="6.54296875" style="30" customWidth="1"/>
  </cols>
  <sheetData>
    <row r="1" spans="1:45" ht="23.5" customHeight="1" x14ac:dyDescent="0.35">
      <c r="T1" s="44" t="s">
        <v>0</v>
      </c>
      <c r="U1" s="39"/>
      <c r="V1" s="39"/>
      <c r="W1" s="39"/>
      <c r="X1" s="42" t="s">
        <v>1</v>
      </c>
      <c r="Y1" s="39"/>
      <c r="Z1" s="39"/>
      <c r="AA1" s="40" t="s">
        <v>2</v>
      </c>
      <c r="AB1" s="39"/>
      <c r="AC1" s="41"/>
      <c r="AD1" s="38" t="s">
        <v>3</v>
      </c>
      <c r="AE1" s="39"/>
      <c r="AF1" s="39"/>
      <c r="AG1" s="43" t="s">
        <v>4</v>
      </c>
      <c r="AH1" s="39"/>
      <c r="AI1" s="39"/>
      <c r="AJ1" s="39"/>
      <c r="AK1" s="39"/>
      <c r="AL1" s="39"/>
      <c r="AM1" s="39"/>
      <c r="AN1" s="39"/>
      <c r="AO1" s="39"/>
      <c r="AP1" s="39"/>
    </row>
    <row r="2" spans="1:45" s="2" customFormat="1" ht="65.5" customHeight="1" x14ac:dyDescent="0.35">
      <c r="A2" s="5" t="s">
        <v>5</v>
      </c>
      <c r="B2" s="1" t="s">
        <v>6</v>
      </c>
      <c r="C2" s="1" t="s">
        <v>7</v>
      </c>
      <c r="D2" s="10" t="s">
        <v>8</v>
      </c>
      <c r="E2" s="17" t="s">
        <v>9</v>
      </c>
      <c r="F2" s="1" t="s">
        <v>10</v>
      </c>
      <c r="G2" s="1" t="s">
        <v>11</v>
      </c>
      <c r="H2" s="4" t="s">
        <v>12</v>
      </c>
      <c r="I2" s="4" t="s">
        <v>13</v>
      </c>
      <c r="J2" s="20" t="s">
        <v>14</v>
      </c>
      <c r="K2" s="20" t="s">
        <v>15</v>
      </c>
      <c r="L2" s="18" t="s">
        <v>16</v>
      </c>
      <c r="M2" s="18" t="s">
        <v>17</v>
      </c>
      <c r="N2" s="25" t="s">
        <v>18</v>
      </c>
      <c r="O2" s="25" t="s">
        <v>19</v>
      </c>
      <c r="P2" s="19" t="s">
        <v>20</v>
      </c>
      <c r="Q2" s="19" t="s">
        <v>21</v>
      </c>
      <c r="R2" s="7" t="s">
        <v>139</v>
      </c>
      <c r="S2" s="7" t="s">
        <v>140</v>
      </c>
      <c r="T2" s="11" t="s">
        <v>22</v>
      </c>
      <c r="U2" s="11" t="s">
        <v>23</v>
      </c>
      <c r="V2" s="7" t="s">
        <v>24</v>
      </c>
      <c r="W2" s="7" t="s">
        <v>25</v>
      </c>
      <c r="X2" s="8">
        <v>3</v>
      </c>
      <c r="Y2" s="8" t="s">
        <v>26</v>
      </c>
      <c r="Z2" s="8" t="s">
        <v>27</v>
      </c>
      <c r="AA2" s="8">
        <v>4</v>
      </c>
      <c r="AB2" s="8" t="s">
        <v>28</v>
      </c>
      <c r="AC2" s="9" t="s">
        <v>29</v>
      </c>
      <c r="AD2" s="8">
        <v>5</v>
      </c>
      <c r="AE2" s="8" t="s">
        <v>30</v>
      </c>
      <c r="AF2" s="8" t="s">
        <v>31</v>
      </c>
      <c r="AG2" s="3">
        <v>3</v>
      </c>
      <c r="AH2" s="3" t="s">
        <v>26</v>
      </c>
      <c r="AI2" s="3" t="s">
        <v>32</v>
      </c>
      <c r="AJ2" s="3">
        <v>4</v>
      </c>
      <c r="AK2" s="3" t="s">
        <v>28</v>
      </c>
      <c r="AL2" s="3" t="s">
        <v>33</v>
      </c>
      <c r="AM2" s="3">
        <v>5</v>
      </c>
      <c r="AN2" s="3" t="s">
        <v>30</v>
      </c>
      <c r="AO2" s="3" t="s">
        <v>34</v>
      </c>
      <c r="AP2" s="3" t="s">
        <v>35</v>
      </c>
      <c r="AQ2" s="6" t="s">
        <v>36</v>
      </c>
      <c r="AR2" s="6" t="s">
        <v>37</v>
      </c>
      <c r="AS2" s="23" t="s">
        <v>38</v>
      </c>
    </row>
    <row r="3" spans="1:45" x14ac:dyDescent="0.35">
      <c r="A3" s="32">
        <v>15</v>
      </c>
      <c r="B3" t="s">
        <v>39</v>
      </c>
      <c r="C3" t="s">
        <v>40</v>
      </c>
      <c r="D3" s="22">
        <v>139.97</v>
      </c>
      <c r="E3" s="16">
        <v>56501222800</v>
      </c>
      <c r="F3">
        <v>40738</v>
      </c>
      <c r="G3" s="30">
        <v>3404</v>
      </c>
      <c r="H3" t="s">
        <v>64</v>
      </c>
      <c r="I3" s="45">
        <v>24.44</v>
      </c>
      <c r="J3" t="s">
        <v>65</v>
      </c>
      <c r="K3" s="35">
        <v>72.959999999999994</v>
      </c>
      <c r="L3" t="s">
        <v>62</v>
      </c>
      <c r="M3" s="35">
        <v>38.15</v>
      </c>
      <c r="N3" t="s">
        <v>62</v>
      </c>
      <c r="O3" s="13">
        <v>38.15</v>
      </c>
      <c r="P3" t="s">
        <v>66</v>
      </c>
      <c r="Q3" s="34">
        <v>20.37</v>
      </c>
      <c r="R3"/>
      <c r="S3"/>
      <c r="T3" t="s">
        <v>46</v>
      </c>
      <c r="U3" s="26">
        <v>92.59</v>
      </c>
      <c r="V3" t="s">
        <v>46</v>
      </c>
      <c r="W3" s="26">
        <v>92.59</v>
      </c>
      <c r="X3">
        <v>34741</v>
      </c>
      <c r="Y3">
        <v>3143</v>
      </c>
      <c r="Z3">
        <v>37884</v>
      </c>
      <c r="AA3">
        <v>2342</v>
      </c>
      <c r="AB3">
        <v>252</v>
      </c>
      <c r="AC3">
        <v>2802</v>
      </c>
      <c r="AD3">
        <v>43</v>
      </c>
      <c r="AE3" s="13">
        <v>9</v>
      </c>
      <c r="AF3" s="13">
        <v>52</v>
      </c>
      <c r="AG3">
        <v>128.66999999999999</v>
      </c>
      <c r="AH3">
        <v>11.64</v>
      </c>
      <c r="AI3">
        <v>11.64</v>
      </c>
      <c r="AJ3">
        <v>10.38</v>
      </c>
      <c r="AK3" s="13">
        <v>0.93</v>
      </c>
      <c r="AL3">
        <v>0.93</v>
      </c>
      <c r="AM3">
        <v>0.16</v>
      </c>
      <c r="AN3">
        <v>0.03</v>
      </c>
      <c r="AO3" s="30">
        <v>0.19</v>
      </c>
      <c r="AP3" s="30">
        <v>128.13999999999999</v>
      </c>
      <c r="AQ3" s="12">
        <v>141369300000</v>
      </c>
      <c r="AR3" s="16">
        <v>197870522800</v>
      </c>
      <c r="AS3" s="24" t="str">
        <f>HYPERLINK("https://github.com/lottpicker/daily1689/blob/main/summary-v15.txt", "Click view")</f>
        <v>Click view</v>
      </c>
    </row>
    <row r="4" spans="1:45" x14ac:dyDescent="0.35">
      <c r="A4" s="30">
        <v>48</v>
      </c>
      <c r="B4" t="s">
        <v>39</v>
      </c>
      <c r="C4" t="s">
        <v>40</v>
      </c>
      <c r="D4" s="22">
        <v>138.61000000000001</v>
      </c>
      <c r="E4" s="16">
        <v>54578818400</v>
      </c>
      <c r="F4">
        <v>40780</v>
      </c>
      <c r="G4" s="30">
        <v>3454</v>
      </c>
      <c r="H4" t="s">
        <v>70</v>
      </c>
      <c r="I4" s="45">
        <v>25.93</v>
      </c>
      <c r="J4" t="s">
        <v>71</v>
      </c>
      <c r="K4" s="35">
        <v>72.59</v>
      </c>
      <c r="L4" t="s">
        <v>58</v>
      </c>
      <c r="M4" s="34">
        <v>36.67</v>
      </c>
      <c r="N4" t="s">
        <v>58</v>
      </c>
      <c r="O4" s="27">
        <v>36.67</v>
      </c>
      <c r="P4" t="s">
        <v>66</v>
      </c>
      <c r="Q4" s="34">
        <v>20.37</v>
      </c>
      <c r="R4"/>
      <c r="S4"/>
      <c r="T4" t="s">
        <v>72</v>
      </c>
      <c r="U4" s="30">
        <v>88.89</v>
      </c>
      <c r="V4" t="s">
        <v>73</v>
      </c>
      <c r="W4" s="30">
        <v>81.48</v>
      </c>
      <c r="X4">
        <v>34717</v>
      </c>
      <c r="Y4">
        <v>3222</v>
      </c>
      <c r="Z4">
        <v>37939</v>
      </c>
      <c r="AA4">
        <v>2346</v>
      </c>
      <c r="AB4">
        <v>230</v>
      </c>
      <c r="AC4">
        <v>2788</v>
      </c>
      <c r="AD4">
        <v>51</v>
      </c>
      <c r="AE4">
        <v>2</v>
      </c>
      <c r="AF4" s="13">
        <v>53</v>
      </c>
      <c r="AG4">
        <v>128.58000000000001</v>
      </c>
      <c r="AH4">
        <v>11.93</v>
      </c>
      <c r="AI4">
        <v>11.93</v>
      </c>
      <c r="AJ4">
        <v>10.33</v>
      </c>
      <c r="AK4">
        <v>0.85</v>
      </c>
      <c r="AL4">
        <v>0.85</v>
      </c>
      <c r="AM4">
        <v>0.19</v>
      </c>
      <c r="AN4">
        <v>0.01</v>
      </c>
      <c r="AO4" s="13">
        <v>0.2</v>
      </c>
      <c r="AP4" s="30">
        <v>128</v>
      </c>
      <c r="AQ4" s="12">
        <v>141369300000</v>
      </c>
      <c r="AR4" s="16">
        <v>195948118400</v>
      </c>
      <c r="AS4" s="24" t="str">
        <f>HYPERLINK("https://github.com/lottpicker/daily1689/blob/main/summary-v48.txt", "Click view")</f>
        <v>Click view</v>
      </c>
    </row>
    <row r="5" spans="1:45" x14ac:dyDescent="0.35">
      <c r="A5" s="30">
        <v>51</v>
      </c>
      <c r="B5" t="s">
        <v>39</v>
      </c>
      <c r="C5" t="s">
        <v>40</v>
      </c>
      <c r="D5" s="29">
        <v>137.68</v>
      </c>
      <c r="E5" s="16">
        <v>53269245700</v>
      </c>
      <c r="F5">
        <v>40738</v>
      </c>
      <c r="G5">
        <v>3399</v>
      </c>
      <c r="H5" t="s">
        <v>50</v>
      </c>
      <c r="I5" s="45">
        <v>26.67</v>
      </c>
      <c r="J5" t="s">
        <v>79</v>
      </c>
      <c r="K5" s="35">
        <v>71.48</v>
      </c>
      <c r="L5" t="s">
        <v>80</v>
      </c>
      <c r="M5" s="34">
        <v>37.04</v>
      </c>
      <c r="N5" t="s">
        <v>80</v>
      </c>
      <c r="O5" s="14">
        <v>37.04</v>
      </c>
      <c r="P5" t="s">
        <v>66</v>
      </c>
      <c r="Q5" s="34">
        <v>20.37</v>
      </c>
      <c r="R5"/>
      <c r="S5"/>
      <c r="T5" t="s">
        <v>46</v>
      </c>
      <c r="U5" s="26">
        <v>92.59</v>
      </c>
      <c r="V5" t="s">
        <v>72</v>
      </c>
      <c r="W5" s="30">
        <v>88.89</v>
      </c>
      <c r="X5">
        <v>34722</v>
      </c>
      <c r="Y5">
        <v>3162</v>
      </c>
      <c r="Z5">
        <v>37884</v>
      </c>
      <c r="AA5">
        <v>2363</v>
      </c>
      <c r="AB5">
        <v>231</v>
      </c>
      <c r="AC5">
        <v>2802</v>
      </c>
      <c r="AD5">
        <v>46</v>
      </c>
      <c r="AE5">
        <v>6</v>
      </c>
      <c r="AF5" s="13">
        <v>52</v>
      </c>
      <c r="AG5">
        <v>128.6</v>
      </c>
      <c r="AH5">
        <v>11.71</v>
      </c>
      <c r="AI5">
        <v>11.71</v>
      </c>
      <c r="AJ5">
        <v>10.38</v>
      </c>
      <c r="AK5">
        <v>0.86</v>
      </c>
      <c r="AL5">
        <v>0.86</v>
      </c>
      <c r="AM5">
        <v>0.17</v>
      </c>
      <c r="AN5">
        <v>0.02</v>
      </c>
      <c r="AO5" s="30">
        <v>0.19</v>
      </c>
      <c r="AP5" s="30">
        <v>128.13999999999999</v>
      </c>
      <c r="AQ5" s="12">
        <v>141369300000</v>
      </c>
      <c r="AR5" s="12">
        <v>194638545700</v>
      </c>
      <c r="AS5" s="24" t="str">
        <f>HYPERLINK("https://github.com/lottpicker/daily1689/blob/main/summary-v51.txt", "Click view")</f>
        <v>Click view</v>
      </c>
    </row>
    <row r="6" spans="1:45" x14ac:dyDescent="0.35">
      <c r="A6" s="28">
        <v>71</v>
      </c>
      <c r="B6" t="s">
        <v>39</v>
      </c>
      <c r="C6" t="s">
        <v>40</v>
      </c>
      <c r="D6" s="13">
        <v>141.25</v>
      </c>
      <c r="E6" s="16">
        <v>58314489400</v>
      </c>
      <c r="F6">
        <v>40837</v>
      </c>
      <c r="G6">
        <v>3312</v>
      </c>
      <c r="H6" t="s">
        <v>132</v>
      </c>
      <c r="I6" s="46">
        <v>27.78</v>
      </c>
      <c r="J6" t="s">
        <v>133</v>
      </c>
      <c r="K6" s="13">
        <v>69.63</v>
      </c>
      <c r="L6" t="s">
        <v>68</v>
      </c>
      <c r="M6" s="30">
        <v>35.19</v>
      </c>
      <c r="N6" t="s">
        <v>68</v>
      </c>
      <c r="O6" s="30">
        <v>35.19</v>
      </c>
      <c r="P6" t="s">
        <v>59</v>
      </c>
      <c r="Q6" s="45">
        <v>22.59</v>
      </c>
      <c r="R6"/>
      <c r="S6"/>
      <c r="T6" t="s">
        <v>45</v>
      </c>
      <c r="U6" s="13">
        <v>100</v>
      </c>
      <c r="V6" t="s">
        <v>45</v>
      </c>
      <c r="W6" s="13">
        <v>100</v>
      </c>
      <c r="X6">
        <v>34886</v>
      </c>
      <c r="Y6">
        <v>3103</v>
      </c>
      <c r="Z6">
        <v>37989</v>
      </c>
      <c r="AA6">
        <v>2346</v>
      </c>
      <c r="AB6">
        <v>202</v>
      </c>
      <c r="AC6">
        <v>2788</v>
      </c>
      <c r="AD6">
        <v>53</v>
      </c>
      <c r="AE6">
        <v>7</v>
      </c>
      <c r="AF6" s="13">
        <v>60</v>
      </c>
      <c r="AG6">
        <v>129.21</v>
      </c>
      <c r="AH6">
        <v>11.49</v>
      </c>
      <c r="AI6">
        <v>11.49</v>
      </c>
      <c r="AJ6">
        <v>10.33</v>
      </c>
      <c r="AK6">
        <v>0.75</v>
      </c>
      <c r="AL6">
        <v>0.75</v>
      </c>
      <c r="AM6">
        <v>0.2</v>
      </c>
      <c r="AN6">
        <v>0.03</v>
      </c>
      <c r="AO6">
        <v>0.22</v>
      </c>
      <c r="AP6">
        <v>128.49</v>
      </c>
      <c r="AQ6" s="12">
        <v>141369300000</v>
      </c>
      <c r="AR6" s="16">
        <v>199683789400</v>
      </c>
      <c r="AS6" s="30" t="str">
        <f>HYPERLINK("https://github.com/lottpicker/daily1689/blob/main/summary-v71.txt", "Click view")</f>
        <v>Click view</v>
      </c>
    </row>
    <row r="7" spans="1:45" x14ac:dyDescent="0.35">
      <c r="A7" s="28">
        <v>46</v>
      </c>
      <c r="B7" t="s">
        <v>39</v>
      </c>
      <c r="C7" t="s">
        <v>40</v>
      </c>
      <c r="D7" s="22">
        <v>140.57</v>
      </c>
      <c r="E7" s="16">
        <v>57348861100</v>
      </c>
      <c r="F7">
        <v>40771</v>
      </c>
      <c r="G7">
        <v>3410</v>
      </c>
      <c r="H7" t="s">
        <v>60</v>
      </c>
      <c r="I7" s="47">
        <v>30</v>
      </c>
      <c r="J7" t="s">
        <v>61</v>
      </c>
      <c r="K7" s="34">
        <v>69.260000000000005</v>
      </c>
      <c r="L7" t="s">
        <v>62</v>
      </c>
      <c r="M7" s="35">
        <v>38.15</v>
      </c>
      <c r="N7" t="s">
        <v>62</v>
      </c>
      <c r="O7" s="13">
        <v>38.15</v>
      </c>
      <c r="P7" t="s">
        <v>63</v>
      </c>
      <c r="Q7" s="35">
        <v>21.11</v>
      </c>
      <c r="R7"/>
      <c r="S7"/>
      <c r="T7" t="s">
        <v>51</v>
      </c>
      <c r="U7" s="14">
        <v>96.3</v>
      </c>
      <c r="V7" t="s">
        <v>51</v>
      </c>
      <c r="W7" s="14">
        <v>96.3</v>
      </c>
      <c r="X7">
        <v>34751</v>
      </c>
      <c r="Y7">
        <v>3173</v>
      </c>
      <c r="Z7">
        <v>37924</v>
      </c>
      <c r="AA7">
        <v>2339</v>
      </c>
      <c r="AB7">
        <v>233</v>
      </c>
      <c r="AC7">
        <v>2792</v>
      </c>
      <c r="AD7">
        <v>51</v>
      </c>
      <c r="AE7">
        <v>4</v>
      </c>
      <c r="AF7" s="13">
        <v>55</v>
      </c>
      <c r="AG7">
        <v>128.71</v>
      </c>
      <c r="AH7">
        <v>11.75</v>
      </c>
      <c r="AI7">
        <v>11.75</v>
      </c>
      <c r="AJ7">
        <v>10.34</v>
      </c>
      <c r="AK7">
        <v>0.86</v>
      </c>
      <c r="AL7">
        <v>0.86</v>
      </c>
      <c r="AM7">
        <v>0.19</v>
      </c>
      <c r="AN7">
        <v>0.01</v>
      </c>
      <c r="AO7" s="13">
        <v>0.2</v>
      </c>
      <c r="AP7" s="30">
        <v>128.11000000000001</v>
      </c>
      <c r="AQ7" s="12">
        <v>141369300000</v>
      </c>
      <c r="AR7" s="16">
        <v>198718161100</v>
      </c>
      <c r="AS7" s="24" t="str">
        <f>HYPERLINK("https://github.com/lottpicker/daily1689/blob/main/summary-v46.txt", "Click view")</f>
        <v>Click view</v>
      </c>
    </row>
    <row r="8" spans="1:45" x14ac:dyDescent="0.35">
      <c r="A8" s="30">
        <v>66</v>
      </c>
      <c r="B8" t="s">
        <v>39</v>
      </c>
      <c r="C8" t="s">
        <v>40</v>
      </c>
      <c r="D8" s="30">
        <v>137.83000000000001</v>
      </c>
      <c r="E8" s="12">
        <v>53476564700</v>
      </c>
      <c r="F8">
        <v>40738</v>
      </c>
      <c r="G8">
        <v>3428</v>
      </c>
      <c r="H8" t="s">
        <v>77</v>
      </c>
      <c r="I8" s="46">
        <v>27.41</v>
      </c>
      <c r="J8" t="s">
        <v>61</v>
      </c>
      <c r="K8" s="30">
        <v>69.260000000000005</v>
      </c>
      <c r="L8" t="s">
        <v>47</v>
      </c>
      <c r="M8" s="30">
        <v>33.700000000000003</v>
      </c>
      <c r="N8" t="s">
        <v>47</v>
      </c>
      <c r="O8" s="30">
        <v>33.700000000000003</v>
      </c>
      <c r="P8" t="s">
        <v>78</v>
      </c>
      <c r="Q8" s="30">
        <v>19.260000000000002</v>
      </c>
      <c r="R8"/>
      <c r="S8"/>
      <c r="T8" t="s">
        <v>51</v>
      </c>
      <c r="U8" s="30">
        <v>96.3</v>
      </c>
      <c r="V8" t="s">
        <v>72</v>
      </c>
      <c r="W8" s="30">
        <v>88.89</v>
      </c>
      <c r="X8">
        <v>34689</v>
      </c>
      <c r="Y8">
        <v>3195</v>
      </c>
      <c r="Z8">
        <v>37884</v>
      </c>
      <c r="AA8">
        <v>2363</v>
      </c>
      <c r="AB8">
        <v>231</v>
      </c>
      <c r="AC8">
        <v>2802</v>
      </c>
      <c r="AD8">
        <v>50</v>
      </c>
      <c r="AE8">
        <v>2</v>
      </c>
      <c r="AF8" s="30">
        <v>52</v>
      </c>
      <c r="AG8">
        <v>128.47999999999999</v>
      </c>
      <c r="AH8">
        <v>11.83</v>
      </c>
      <c r="AI8">
        <v>11.83</v>
      </c>
      <c r="AJ8">
        <v>10.38</v>
      </c>
      <c r="AK8">
        <v>0.86</v>
      </c>
      <c r="AL8">
        <v>0.86</v>
      </c>
      <c r="AM8">
        <v>0.19</v>
      </c>
      <c r="AN8">
        <v>0.01</v>
      </c>
      <c r="AO8" s="30">
        <v>0.19</v>
      </c>
      <c r="AP8">
        <v>128.05000000000001</v>
      </c>
      <c r="AQ8" s="12">
        <v>141369300000</v>
      </c>
      <c r="AR8" s="12">
        <v>194845864700</v>
      </c>
      <c r="AS8" s="30" t="str">
        <f>HYPERLINK("https://github.com/lottpicker/daily1689/blob/main/summary-v66.txt", "Click view")</f>
        <v>Click view</v>
      </c>
    </row>
    <row r="9" spans="1:45" x14ac:dyDescent="0.35">
      <c r="A9" s="30">
        <v>17</v>
      </c>
      <c r="B9" t="s">
        <v>39</v>
      </c>
      <c r="C9" t="s">
        <v>40</v>
      </c>
      <c r="D9" s="31">
        <v>129.15</v>
      </c>
      <c r="E9" s="12">
        <v>41203948100</v>
      </c>
      <c r="F9">
        <v>40700</v>
      </c>
      <c r="G9">
        <v>3369</v>
      </c>
      <c r="H9" t="s">
        <v>120</v>
      </c>
      <c r="I9" s="45">
        <v>29.26</v>
      </c>
      <c r="J9" t="s">
        <v>61</v>
      </c>
      <c r="K9" s="34">
        <v>69.260000000000005</v>
      </c>
      <c r="L9" t="s">
        <v>47</v>
      </c>
      <c r="M9" s="31">
        <v>33.700000000000003</v>
      </c>
      <c r="N9" t="s">
        <v>47</v>
      </c>
      <c r="O9" s="30">
        <v>33.700000000000003</v>
      </c>
      <c r="P9" t="s">
        <v>121</v>
      </c>
      <c r="Q9" s="37">
        <v>15.93</v>
      </c>
      <c r="R9"/>
      <c r="S9"/>
      <c r="T9" t="s">
        <v>45</v>
      </c>
      <c r="U9" s="13">
        <v>100</v>
      </c>
      <c r="V9" t="s">
        <v>46</v>
      </c>
      <c r="W9" s="26">
        <v>92.59</v>
      </c>
      <c r="X9">
        <v>34731</v>
      </c>
      <c r="Y9">
        <v>3136</v>
      </c>
      <c r="Z9">
        <v>37867</v>
      </c>
      <c r="AA9">
        <v>2389</v>
      </c>
      <c r="AB9">
        <v>229</v>
      </c>
      <c r="AC9">
        <v>2790</v>
      </c>
      <c r="AD9">
        <v>39</v>
      </c>
      <c r="AE9" s="30">
        <v>4</v>
      </c>
      <c r="AF9" s="30">
        <v>43</v>
      </c>
      <c r="AG9">
        <v>128.63</v>
      </c>
      <c r="AH9">
        <v>11.61</v>
      </c>
      <c r="AI9">
        <v>11.61</v>
      </c>
      <c r="AJ9">
        <v>10.33</v>
      </c>
      <c r="AK9" s="30">
        <v>0.85</v>
      </c>
      <c r="AL9">
        <v>0.85</v>
      </c>
      <c r="AM9">
        <v>0.14000000000000001</v>
      </c>
      <c r="AN9">
        <v>0.01</v>
      </c>
      <c r="AO9" s="30">
        <v>0.16</v>
      </c>
      <c r="AP9">
        <v>128.27000000000001</v>
      </c>
      <c r="AQ9" s="12">
        <v>141369300000</v>
      </c>
      <c r="AR9" s="12">
        <v>182573248100</v>
      </c>
      <c r="AS9" s="24" t="str">
        <f>HYPERLINK("https://github.com/lottpicker/daily1689/blob/main/summary-v17.txt", "Click view")</f>
        <v>Click view</v>
      </c>
    </row>
    <row r="10" spans="1:45" x14ac:dyDescent="0.35">
      <c r="A10" s="32">
        <v>59</v>
      </c>
      <c r="B10" t="s">
        <v>39</v>
      </c>
      <c r="C10" t="s">
        <v>40</v>
      </c>
      <c r="D10" s="22">
        <v>143.94999999999999</v>
      </c>
      <c r="E10" s="16">
        <v>62136608600</v>
      </c>
      <c r="F10">
        <v>40837</v>
      </c>
      <c r="G10">
        <v>3387</v>
      </c>
      <c r="H10" t="s">
        <v>52</v>
      </c>
      <c r="I10" s="46">
        <v>29.63</v>
      </c>
      <c r="J10" t="s">
        <v>53</v>
      </c>
      <c r="K10" s="14">
        <v>68.89</v>
      </c>
      <c r="L10" t="s">
        <v>54</v>
      </c>
      <c r="M10" s="13">
        <v>38.520000000000003</v>
      </c>
      <c r="N10" t="s">
        <v>54</v>
      </c>
      <c r="O10" s="13">
        <v>38.520000000000003</v>
      </c>
      <c r="P10" t="s">
        <v>55</v>
      </c>
      <c r="Q10" s="45">
        <v>23.33</v>
      </c>
      <c r="R10"/>
      <c r="S10"/>
      <c r="T10" t="s">
        <v>51</v>
      </c>
      <c r="U10" s="14">
        <v>96.3</v>
      </c>
      <c r="V10" t="s">
        <v>51</v>
      </c>
      <c r="W10" s="14">
        <v>96.3</v>
      </c>
      <c r="X10">
        <v>34833</v>
      </c>
      <c r="Y10">
        <v>3156</v>
      </c>
      <c r="Z10">
        <v>37989</v>
      </c>
      <c r="AA10">
        <v>2324</v>
      </c>
      <c r="AB10">
        <v>224</v>
      </c>
      <c r="AC10">
        <v>2788</v>
      </c>
      <c r="AD10">
        <v>53</v>
      </c>
      <c r="AE10">
        <v>7</v>
      </c>
      <c r="AF10" s="13">
        <v>60</v>
      </c>
      <c r="AG10">
        <v>129.01</v>
      </c>
      <c r="AH10">
        <v>11.69</v>
      </c>
      <c r="AI10">
        <v>11.69</v>
      </c>
      <c r="AJ10">
        <v>10.33</v>
      </c>
      <c r="AK10">
        <v>0.83</v>
      </c>
      <c r="AL10">
        <v>0.83</v>
      </c>
      <c r="AM10">
        <v>0.2</v>
      </c>
      <c r="AN10">
        <v>0.03</v>
      </c>
      <c r="AO10" s="30">
        <v>0.22</v>
      </c>
      <c r="AP10">
        <v>128.26</v>
      </c>
      <c r="AQ10" s="12">
        <v>141369300000</v>
      </c>
      <c r="AR10" s="16">
        <v>203505908600</v>
      </c>
      <c r="AS10" s="30" t="str">
        <f>HYPERLINK("https://github.com/lottpicker/daily1689/blob/main/summary-v59.txt", "Click view")</f>
        <v>Click view</v>
      </c>
    </row>
    <row r="11" spans="1:45" x14ac:dyDescent="0.35">
      <c r="A11" s="28">
        <v>70</v>
      </c>
      <c r="B11" t="s">
        <v>39</v>
      </c>
      <c r="C11" t="s">
        <v>40</v>
      </c>
      <c r="D11" s="13">
        <v>143.94999999999999</v>
      </c>
      <c r="E11" s="16">
        <v>62136608600</v>
      </c>
      <c r="F11">
        <v>40837</v>
      </c>
      <c r="G11">
        <v>3387</v>
      </c>
      <c r="H11" t="s">
        <v>52</v>
      </c>
      <c r="I11" s="46">
        <v>29.63</v>
      </c>
      <c r="J11" t="s">
        <v>53</v>
      </c>
      <c r="K11" s="30">
        <v>68.89</v>
      </c>
      <c r="L11" t="s">
        <v>54</v>
      </c>
      <c r="M11" s="13">
        <v>38.520000000000003</v>
      </c>
      <c r="N11" t="s">
        <v>54</v>
      </c>
      <c r="O11" s="13">
        <v>38.520000000000003</v>
      </c>
      <c r="P11" t="s">
        <v>55</v>
      </c>
      <c r="Q11" s="45">
        <v>23.33</v>
      </c>
      <c r="R11"/>
      <c r="S11"/>
      <c r="T11" t="s">
        <v>51</v>
      </c>
      <c r="U11" s="30">
        <v>96.3</v>
      </c>
      <c r="V11" t="s">
        <v>51</v>
      </c>
      <c r="W11" s="30">
        <v>96.3</v>
      </c>
      <c r="X11">
        <v>34833</v>
      </c>
      <c r="Y11">
        <v>3156</v>
      </c>
      <c r="Z11">
        <v>37989</v>
      </c>
      <c r="AA11">
        <v>2324</v>
      </c>
      <c r="AB11">
        <v>224</v>
      </c>
      <c r="AC11">
        <v>2788</v>
      </c>
      <c r="AD11">
        <v>53</v>
      </c>
      <c r="AE11" s="30">
        <v>7</v>
      </c>
      <c r="AF11" s="13">
        <v>60</v>
      </c>
      <c r="AG11">
        <v>129.01</v>
      </c>
      <c r="AH11">
        <v>11.69</v>
      </c>
      <c r="AI11">
        <v>11.69</v>
      </c>
      <c r="AJ11">
        <v>10.33</v>
      </c>
      <c r="AK11" s="30">
        <v>0.83</v>
      </c>
      <c r="AL11">
        <v>0.83</v>
      </c>
      <c r="AM11">
        <v>0.2</v>
      </c>
      <c r="AN11">
        <v>0.03</v>
      </c>
      <c r="AO11" s="30">
        <v>0.22</v>
      </c>
      <c r="AP11">
        <v>128.26</v>
      </c>
      <c r="AQ11" s="12">
        <v>141369300000</v>
      </c>
      <c r="AR11" s="16">
        <v>203505908600</v>
      </c>
      <c r="AS11" s="30" t="str">
        <f>HYPERLINK("https://github.com/lottpicker/daily1689/blob/main/summary-v70.txt", "Click view")</f>
        <v>Click view</v>
      </c>
    </row>
    <row r="12" spans="1:45" x14ac:dyDescent="0.35">
      <c r="A12" s="30">
        <v>41</v>
      </c>
      <c r="B12" t="s">
        <v>39</v>
      </c>
      <c r="C12" t="s">
        <v>40</v>
      </c>
      <c r="D12" s="29">
        <v>137.41</v>
      </c>
      <c r="E12" s="21">
        <v>52880731500</v>
      </c>
      <c r="F12">
        <v>40738</v>
      </c>
      <c r="G12">
        <v>3383</v>
      </c>
      <c r="H12" t="s">
        <v>60</v>
      </c>
      <c r="I12" s="47">
        <v>30</v>
      </c>
      <c r="J12" t="s">
        <v>53</v>
      </c>
      <c r="K12" s="34">
        <v>68.89</v>
      </c>
      <c r="L12" t="s">
        <v>89</v>
      </c>
      <c r="M12" s="34">
        <v>37.409999999999997</v>
      </c>
      <c r="N12" t="s">
        <v>89</v>
      </c>
      <c r="O12" s="14">
        <v>37.409999999999997</v>
      </c>
      <c r="P12" t="s">
        <v>90</v>
      </c>
      <c r="Q12" s="37">
        <v>19.63</v>
      </c>
      <c r="R12"/>
      <c r="S12"/>
      <c r="T12" t="s">
        <v>51</v>
      </c>
      <c r="U12" s="14">
        <v>96.3</v>
      </c>
      <c r="V12" t="s">
        <v>72</v>
      </c>
      <c r="W12" s="30">
        <v>88.89</v>
      </c>
      <c r="X12">
        <v>34735</v>
      </c>
      <c r="Y12">
        <v>3149</v>
      </c>
      <c r="Z12">
        <v>37884</v>
      </c>
      <c r="AA12">
        <v>2365</v>
      </c>
      <c r="AB12">
        <v>229</v>
      </c>
      <c r="AC12">
        <v>2802</v>
      </c>
      <c r="AD12">
        <v>47</v>
      </c>
      <c r="AE12" s="30">
        <v>5</v>
      </c>
      <c r="AF12" s="13">
        <v>52</v>
      </c>
      <c r="AG12">
        <v>128.65</v>
      </c>
      <c r="AH12">
        <v>11.66</v>
      </c>
      <c r="AI12">
        <v>11.66</v>
      </c>
      <c r="AJ12">
        <v>10.38</v>
      </c>
      <c r="AK12">
        <v>0.85</v>
      </c>
      <c r="AL12">
        <v>0.85</v>
      </c>
      <c r="AM12">
        <v>0.17</v>
      </c>
      <c r="AN12">
        <v>0.02</v>
      </c>
      <c r="AO12" s="30">
        <v>0.19</v>
      </c>
      <c r="AP12">
        <v>128.22999999999999</v>
      </c>
      <c r="AQ12" s="12">
        <v>141369300000</v>
      </c>
      <c r="AR12" s="12">
        <v>194250031500</v>
      </c>
      <c r="AS12" s="24" t="str">
        <f>HYPERLINK("https://github.com/lottpicker/daily1689/blob/main/summary-v41.txt", "Click view")</f>
        <v>Click view</v>
      </c>
    </row>
    <row r="13" spans="1:45" x14ac:dyDescent="0.35">
      <c r="A13" s="30">
        <v>50</v>
      </c>
      <c r="B13" t="s">
        <v>39</v>
      </c>
      <c r="C13" t="s">
        <v>40</v>
      </c>
      <c r="D13" s="29">
        <v>136.32</v>
      </c>
      <c r="E13" s="21">
        <v>51347102400</v>
      </c>
      <c r="F13">
        <v>40793</v>
      </c>
      <c r="G13" s="30">
        <v>3369</v>
      </c>
      <c r="H13" t="s">
        <v>52</v>
      </c>
      <c r="I13" s="45">
        <v>29.63</v>
      </c>
      <c r="J13" t="s">
        <v>93</v>
      </c>
      <c r="K13" s="34">
        <v>68.52</v>
      </c>
      <c r="L13" t="s">
        <v>89</v>
      </c>
      <c r="M13" s="34">
        <v>37.409999999999997</v>
      </c>
      <c r="N13" t="s">
        <v>89</v>
      </c>
      <c r="O13" s="14">
        <v>37.409999999999997</v>
      </c>
      <c r="P13" t="s">
        <v>90</v>
      </c>
      <c r="Q13" s="37">
        <v>19.63</v>
      </c>
      <c r="R13"/>
      <c r="S13"/>
      <c r="T13" t="s">
        <v>45</v>
      </c>
      <c r="U13" s="14">
        <v>100</v>
      </c>
      <c r="V13" t="s">
        <v>45</v>
      </c>
      <c r="W13" s="13">
        <v>100</v>
      </c>
      <c r="X13">
        <v>34833</v>
      </c>
      <c r="Y13">
        <v>3134</v>
      </c>
      <c r="Z13">
        <v>37967</v>
      </c>
      <c r="AA13">
        <v>2341</v>
      </c>
      <c r="AB13">
        <v>230</v>
      </c>
      <c r="AC13">
        <v>2775</v>
      </c>
      <c r="AD13">
        <v>46</v>
      </c>
      <c r="AE13">
        <v>5</v>
      </c>
      <c r="AF13" s="13">
        <v>51</v>
      </c>
      <c r="AG13">
        <v>129.01</v>
      </c>
      <c r="AH13">
        <v>11.61</v>
      </c>
      <c r="AI13">
        <v>11.61</v>
      </c>
      <c r="AJ13">
        <v>10.28</v>
      </c>
      <c r="AK13">
        <v>0.85</v>
      </c>
      <c r="AL13">
        <v>0.85</v>
      </c>
      <c r="AM13">
        <v>0.17</v>
      </c>
      <c r="AN13">
        <v>0.02</v>
      </c>
      <c r="AO13" s="13">
        <v>0.19</v>
      </c>
      <c r="AP13" s="30">
        <v>128.27000000000001</v>
      </c>
      <c r="AQ13" s="12">
        <v>141369300000</v>
      </c>
      <c r="AR13" s="12">
        <v>192716402400</v>
      </c>
      <c r="AS13" s="24" t="str">
        <f>HYPERLINK("https://github.com/lottpicker/daily1689/blob/main/summary-v50.txt", "Click view")</f>
        <v>Click view</v>
      </c>
    </row>
    <row r="14" spans="1:45" x14ac:dyDescent="0.35">
      <c r="A14" s="30">
        <v>32</v>
      </c>
      <c r="B14" t="s">
        <v>39</v>
      </c>
      <c r="C14" t="s">
        <v>40</v>
      </c>
      <c r="D14" s="31">
        <v>131.93</v>
      </c>
      <c r="E14" s="12">
        <v>45171549600</v>
      </c>
      <c r="F14">
        <v>40773</v>
      </c>
      <c r="G14" s="30">
        <v>3434</v>
      </c>
      <c r="H14" t="s">
        <v>56</v>
      </c>
      <c r="I14" s="47">
        <v>30.37</v>
      </c>
      <c r="J14" t="s">
        <v>93</v>
      </c>
      <c r="K14" s="34">
        <v>68.52</v>
      </c>
      <c r="L14" t="s">
        <v>47</v>
      </c>
      <c r="M14" s="31">
        <v>33.700000000000003</v>
      </c>
      <c r="N14" t="s">
        <v>47</v>
      </c>
      <c r="O14" s="30">
        <v>33.700000000000003</v>
      </c>
      <c r="P14" t="s">
        <v>106</v>
      </c>
      <c r="Q14" s="37">
        <v>17.78</v>
      </c>
      <c r="R14"/>
      <c r="S14"/>
      <c r="T14" t="s">
        <v>72</v>
      </c>
      <c r="U14" s="30">
        <v>88.89</v>
      </c>
      <c r="V14" t="s">
        <v>107</v>
      </c>
      <c r="W14" s="30">
        <v>77.78</v>
      </c>
      <c r="X14">
        <v>34736</v>
      </c>
      <c r="Y14">
        <v>3205</v>
      </c>
      <c r="Z14">
        <v>37941</v>
      </c>
      <c r="AA14">
        <v>2374</v>
      </c>
      <c r="AB14">
        <v>228</v>
      </c>
      <c r="AC14">
        <v>2786</v>
      </c>
      <c r="AD14">
        <v>45</v>
      </c>
      <c r="AE14">
        <v>1</v>
      </c>
      <c r="AF14" s="30">
        <v>46</v>
      </c>
      <c r="AG14">
        <v>128.65</v>
      </c>
      <c r="AH14">
        <v>11.87</v>
      </c>
      <c r="AI14">
        <v>11.87</v>
      </c>
      <c r="AJ14">
        <v>10.32</v>
      </c>
      <c r="AK14">
        <v>0.84</v>
      </c>
      <c r="AL14">
        <v>0.84</v>
      </c>
      <c r="AM14">
        <v>0.17</v>
      </c>
      <c r="AN14">
        <v>0</v>
      </c>
      <c r="AO14" s="30">
        <v>0.17</v>
      </c>
      <c r="AP14" s="30">
        <v>128.11000000000001</v>
      </c>
      <c r="AQ14" s="12">
        <v>141453000000</v>
      </c>
      <c r="AR14" s="12">
        <v>186624549600</v>
      </c>
      <c r="AS14" s="24" t="str">
        <f>HYPERLINK("https://github.com/lottpicker/daily1689/blob/main/summary-v32.txt", "Click view")</f>
        <v>Click view</v>
      </c>
    </row>
    <row r="15" spans="1:45" x14ac:dyDescent="0.35">
      <c r="A15" s="28">
        <v>60</v>
      </c>
      <c r="B15" t="s">
        <v>39</v>
      </c>
      <c r="C15" t="s">
        <v>40</v>
      </c>
      <c r="D15" s="22">
        <v>143.41999999999999</v>
      </c>
      <c r="E15" s="16">
        <v>61386324100</v>
      </c>
      <c r="F15">
        <v>40837</v>
      </c>
      <c r="G15">
        <v>3391</v>
      </c>
      <c r="H15" t="s">
        <v>56</v>
      </c>
      <c r="I15" s="48">
        <v>30.37</v>
      </c>
      <c r="J15" t="s">
        <v>57</v>
      </c>
      <c r="K15" s="14">
        <v>68.150000000000006</v>
      </c>
      <c r="L15" t="s">
        <v>58</v>
      </c>
      <c r="M15" s="30">
        <v>36.67</v>
      </c>
      <c r="N15" t="s">
        <v>58</v>
      </c>
      <c r="O15" s="30">
        <v>36.67</v>
      </c>
      <c r="P15" t="s">
        <v>59</v>
      </c>
      <c r="Q15" s="45">
        <v>22.59</v>
      </c>
      <c r="R15"/>
      <c r="S15"/>
      <c r="T15" t="s">
        <v>45</v>
      </c>
      <c r="U15" s="14">
        <v>100</v>
      </c>
      <c r="V15" t="s">
        <v>51</v>
      </c>
      <c r="W15" s="14">
        <v>96.3</v>
      </c>
      <c r="X15">
        <v>34824</v>
      </c>
      <c r="Y15">
        <v>3165</v>
      </c>
      <c r="Z15">
        <v>37989</v>
      </c>
      <c r="AA15">
        <v>2329</v>
      </c>
      <c r="AB15">
        <v>219</v>
      </c>
      <c r="AC15">
        <v>2788</v>
      </c>
      <c r="AD15">
        <v>53</v>
      </c>
      <c r="AE15" s="30">
        <v>7</v>
      </c>
      <c r="AF15" s="13">
        <v>60</v>
      </c>
      <c r="AG15">
        <v>128.97999999999999</v>
      </c>
      <c r="AH15">
        <v>11.72</v>
      </c>
      <c r="AI15">
        <v>11.72</v>
      </c>
      <c r="AJ15">
        <v>10.33</v>
      </c>
      <c r="AK15" s="30">
        <v>0.81</v>
      </c>
      <c r="AL15">
        <v>0.81</v>
      </c>
      <c r="AM15">
        <v>0.2</v>
      </c>
      <c r="AN15">
        <v>0.03</v>
      </c>
      <c r="AO15" s="30">
        <v>0.22</v>
      </c>
      <c r="AP15">
        <v>128.19</v>
      </c>
      <c r="AQ15" s="12">
        <v>141369300000</v>
      </c>
      <c r="AR15" s="16">
        <v>202755624100</v>
      </c>
      <c r="AS15" s="30" t="str">
        <f>HYPERLINK("https://github.com/lottpicker/daily1689/blob/main/summary-v60.txt", "Click view")</f>
        <v>Click view</v>
      </c>
    </row>
    <row r="16" spans="1:45" x14ac:dyDescent="0.35">
      <c r="A16" s="30">
        <v>30</v>
      </c>
      <c r="B16" t="s">
        <v>39</v>
      </c>
      <c r="C16" t="s">
        <v>40</v>
      </c>
      <c r="D16" s="31">
        <v>131.46</v>
      </c>
      <c r="E16" s="12">
        <v>44470991100</v>
      </c>
      <c r="F16">
        <v>40730</v>
      </c>
      <c r="G16">
        <v>3412</v>
      </c>
      <c r="H16" t="s">
        <v>44</v>
      </c>
      <c r="I16" s="47">
        <v>30.74</v>
      </c>
      <c r="J16" t="s">
        <v>109</v>
      </c>
      <c r="K16" s="33">
        <v>67.78</v>
      </c>
      <c r="L16" t="s">
        <v>105</v>
      </c>
      <c r="M16" s="36">
        <v>34.81</v>
      </c>
      <c r="N16" t="s">
        <v>105</v>
      </c>
      <c r="O16" s="30">
        <v>34.81</v>
      </c>
      <c r="P16" t="s">
        <v>106</v>
      </c>
      <c r="Q16" s="37">
        <v>17.78</v>
      </c>
      <c r="R16"/>
      <c r="S16"/>
      <c r="T16" t="s">
        <v>72</v>
      </c>
      <c r="U16" s="30">
        <v>88.89</v>
      </c>
      <c r="V16" t="s">
        <v>110</v>
      </c>
      <c r="W16" s="30">
        <v>74.069999999999993</v>
      </c>
      <c r="X16">
        <v>34737</v>
      </c>
      <c r="Y16">
        <v>3168</v>
      </c>
      <c r="Z16">
        <v>37905</v>
      </c>
      <c r="AA16">
        <v>2364</v>
      </c>
      <c r="AB16">
        <v>241</v>
      </c>
      <c r="AC16">
        <v>2781</v>
      </c>
      <c r="AD16">
        <v>41</v>
      </c>
      <c r="AE16">
        <v>3</v>
      </c>
      <c r="AF16" s="30">
        <v>44</v>
      </c>
      <c r="AG16">
        <v>128.66</v>
      </c>
      <c r="AH16">
        <v>11.73</v>
      </c>
      <c r="AI16">
        <v>11.73</v>
      </c>
      <c r="AJ16">
        <v>10.3</v>
      </c>
      <c r="AK16">
        <v>0.89</v>
      </c>
      <c r="AL16">
        <v>0.89</v>
      </c>
      <c r="AM16">
        <v>0.15</v>
      </c>
      <c r="AN16">
        <v>0.01</v>
      </c>
      <c r="AO16" s="30">
        <v>0.16</v>
      </c>
      <c r="AP16">
        <v>128.11000000000001</v>
      </c>
      <c r="AQ16" s="12">
        <v>141369300000</v>
      </c>
      <c r="AR16" s="12">
        <v>185840291100</v>
      </c>
      <c r="AS16" s="24" t="str">
        <f>HYPERLINK("https://github.com/lottpicker/daily1689/blob/main/summary-v30.txt", "Click view")</f>
        <v>Click view</v>
      </c>
    </row>
    <row r="17" spans="1:45" x14ac:dyDescent="0.35">
      <c r="A17" s="30">
        <v>55</v>
      </c>
      <c r="B17" t="s">
        <v>39</v>
      </c>
      <c r="C17" t="s">
        <v>40</v>
      </c>
      <c r="D17" s="29">
        <v>137.6</v>
      </c>
      <c r="E17" s="16">
        <v>53149326700</v>
      </c>
      <c r="F17">
        <v>40738</v>
      </c>
      <c r="G17">
        <v>3378</v>
      </c>
      <c r="H17" t="s">
        <v>56</v>
      </c>
      <c r="I17" s="48">
        <v>30.37</v>
      </c>
      <c r="J17" t="s">
        <v>81</v>
      </c>
      <c r="K17" s="30">
        <v>67.41</v>
      </c>
      <c r="L17" t="s">
        <v>82</v>
      </c>
      <c r="M17" s="13">
        <v>39.26</v>
      </c>
      <c r="N17" t="s">
        <v>82</v>
      </c>
      <c r="O17" s="13">
        <v>39.26</v>
      </c>
      <c r="P17" t="s">
        <v>63</v>
      </c>
      <c r="Q17" s="35">
        <v>21.11</v>
      </c>
      <c r="R17"/>
      <c r="S17"/>
      <c r="T17" t="s">
        <v>51</v>
      </c>
      <c r="U17" s="14">
        <v>96.3</v>
      </c>
      <c r="V17" t="s">
        <v>46</v>
      </c>
      <c r="W17" s="26">
        <v>92.59</v>
      </c>
      <c r="X17">
        <v>34743</v>
      </c>
      <c r="Y17">
        <v>3141</v>
      </c>
      <c r="Z17">
        <v>37884</v>
      </c>
      <c r="AA17">
        <v>2363</v>
      </c>
      <c r="AB17">
        <v>231</v>
      </c>
      <c r="AC17">
        <v>2802</v>
      </c>
      <c r="AD17">
        <v>46</v>
      </c>
      <c r="AE17">
        <v>6</v>
      </c>
      <c r="AF17" s="13">
        <v>52</v>
      </c>
      <c r="AG17">
        <v>128.68</v>
      </c>
      <c r="AH17">
        <v>11.63</v>
      </c>
      <c r="AI17">
        <v>11.63</v>
      </c>
      <c r="AJ17">
        <v>10.38</v>
      </c>
      <c r="AK17">
        <v>0.86</v>
      </c>
      <c r="AL17">
        <v>0.86</v>
      </c>
      <c r="AM17">
        <v>0.17</v>
      </c>
      <c r="AN17">
        <v>0.02</v>
      </c>
      <c r="AO17" s="30">
        <v>0.19</v>
      </c>
      <c r="AP17">
        <v>128.24</v>
      </c>
      <c r="AQ17" s="12">
        <v>141369300000</v>
      </c>
      <c r="AR17" s="12">
        <v>194518626700</v>
      </c>
      <c r="AS17" s="24" t="str">
        <f>HYPERLINK("https://github.com/lottpicker/daily1689/blob/main/summary-v55.txt", "Click view")</f>
        <v>Click view</v>
      </c>
    </row>
    <row r="18" spans="1:45" x14ac:dyDescent="0.35">
      <c r="A18">
        <v>43</v>
      </c>
      <c r="B18" t="s">
        <v>39</v>
      </c>
      <c r="C18" t="s">
        <v>40</v>
      </c>
      <c r="D18" s="29">
        <v>136.96</v>
      </c>
      <c r="E18" s="21">
        <v>52252970800</v>
      </c>
      <c r="F18">
        <v>40738</v>
      </c>
      <c r="G18">
        <v>3461</v>
      </c>
      <c r="H18" t="s">
        <v>74</v>
      </c>
      <c r="I18" s="33">
        <v>31.11</v>
      </c>
      <c r="J18" t="s">
        <v>81</v>
      </c>
      <c r="K18" s="33">
        <v>67.41</v>
      </c>
      <c r="L18" t="s">
        <v>89</v>
      </c>
      <c r="M18" s="34">
        <v>37.409999999999997</v>
      </c>
      <c r="N18" t="s">
        <v>89</v>
      </c>
      <c r="O18" s="14">
        <v>37.409999999999997</v>
      </c>
      <c r="P18" t="s">
        <v>66</v>
      </c>
      <c r="Q18" s="34">
        <v>20.37</v>
      </c>
      <c r="R18"/>
      <c r="S18"/>
      <c r="T18" t="s">
        <v>45</v>
      </c>
      <c r="U18" s="13">
        <v>100</v>
      </c>
      <c r="V18" t="s">
        <v>72</v>
      </c>
      <c r="W18" s="30">
        <v>88.89</v>
      </c>
      <c r="X18">
        <v>34650</v>
      </c>
      <c r="Y18">
        <v>3234</v>
      </c>
      <c r="Z18">
        <v>37884</v>
      </c>
      <c r="AA18">
        <v>2372</v>
      </c>
      <c r="AB18">
        <v>222</v>
      </c>
      <c r="AC18">
        <v>2802</v>
      </c>
      <c r="AD18">
        <v>47</v>
      </c>
      <c r="AE18">
        <v>5</v>
      </c>
      <c r="AF18" s="13">
        <v>52</v>
      </c>
      <c r="AG18">
        <v>128.33000000000001</v>
      </c>
      <c r="AH18">
        <v>11.98</v>
      </c>
      <c r="AI18">
        <v>11.98</v>
      </c>
      <c r="AJ18">
        <v>10.38</v>
      </c>
      <c r="AK18">
        <v>0.82</v>
      </c>
      <c r="AL18">
        <v>0.82</v>
      </c>
      <c r="AM18">
        <v>0.17</v>
      </c>
      <c r="AN18">
        <v>0.02</v>
      </c>
      <c r="AO18" s="30">
        <v>0.19</v>
      </c>
      <c r="AP18">
        <v>127.89</v>
      </c>
      <c r="AQ18" s="12">
        <v>141369300000</v>
      </c>
      <c r="AR18" s="12">
        <v>193622270800</v>
      </c>
      <c r="AS18" s="24" t="str">
        <f>HYPERLINK("https://github.com/lottpicker/daily1689/blob/main/summary-v43.txt", "Click view")</f>
        <v>Click view</v>
      </c>
    </row>
    <row r="19" spans="1:45" x14ac:dyDescent="0.35">
      <c r="A19">
        <v>40</v>
      </c>
      <c r="B19" t="s">
        <v>39</v>
      </c>
      <c r="C19" t="s">
        <v>40</v>
      </c>
      <c r="D19" s="29">
        <v>135.69</v>
      </c>
      <c r="E19" s="21">
        <v>50447959500</v>
      </c>
      <c r="F19">
        <v>40738</v>
      </c>
      <c r="G19">
        <v>3222</v>
      </c>
      <c r="H19" t="s">
        <v>60</v>
      </c>
      <c r="I19" s="47">
        <v>30</v>
      </c>
      <c r="J19" t="s">
        <v>81</v>
      </c>
      <c r="K19" s="33">
        <v>67.41</v>
      </c>
      <c r="L19" t="s">
        <v>85</v>
      </c>
      <c r="M19" s="36">
        <v>34.07</v>
      </c>
      <c r="N19" t="s">
        <v>85</v>
      </c>
      <c r="O19" s="30">
        <v>34.07</v>
      </c>
      <c r="P19" t="s">
        <v>95</v>
      </c>
      <c r="Q19" s="34">
        <v>20</v>
      </c>
      <c r="R19"/>
      <c r="S19"/>
      <c r="T19" t="s">
        <v>72</v>
      </c>
      <c r="U19" s="30">
        <v>88.89</v>
      </c>
      <c r="V19" t="s">
        <v>88</v>
      </c>
      <c r="W19" s="30">
        <v>85.19</v>
      </c>
      <c r="X19">
        <v>34882</v>
      </c>
      <c r="Y19">
        <v>3002</v>
      </c>
      <c r="Z19">
        <v>37884</v>
      </c>
      <c r="AA19">
        <v>2375</v>
      </c>
      <c r="AB19">
        <v>219</v>
      </c>
      <c r="AC19">
        <v>2802</v>
      </c>
      <c r="AD19">
        <v>51</v>
      </c>
      <c r="AE19">
        <v>1</v>
      </c>
      <c r="AF19" s="13">
        <v>52</v>
      </c>
      <c r="AG19">
        <v>129.19</v>
      </c>
      <c r="AH19">
        <v>11.12</v>
      </c>
      <c r="AI19">
        <v>11.12</v>
      </c>
      <c r="AJ19">
        <v>10.38</v>
      </c>
      <c r="AK19">
        <v>0.81</v>
      </c>
      <c r="AL19">
        <v>0.81</v>
      </c>
      <c r="AM19">
        <v>0.19</v>
      </c>
      <c r="AN19">
        <v>0</v>
      </c>
      <c r="AO19" s="30">
        <v>0.19</v>
      </c>
      <c r="AP19">
        <v>128.84</v>
      </c>
      <c r="AQ19" s="12">
        <v>141369300000</v>
      </c>
      <c r="AR19" s="12">
        <v>191817259500</v>
      </c>
      <c r="AS19" s="24" t="str">
        <f>HYPERLINK("https://github.com/lottpicker/daily1689/blob/main/summary-v40.txt", "Click view")</f>
        <v>Click view</v>
      </c>
    </row>
    <row r="20" spans="1:45" x14ac:dyDescent="0.35">
      <c r="A20" s="30">
        <v>42</v>
      </c>
      <c r="B20" t="s">
        <v>39</v>
      </c>
      <c r="C20" t="s">
        <v>40</v>
      </c>
      <c r="D20" s="29">
        <v>135.02000000000001</v>
      </c>
      <c r="E20" s="12">
        <v>49501097300</v>
      </c>
      <c r="F20">
        <v>40738</v>
      </c>
      <c r="G20">
        <v>3379</v>
      </c>
      <c r="H20" t="s">
        <v>74</v>
      </c>
      <c r="I20" s="33">
        <v>31.11</v>
      </c>
      <c r="J20" t="s">
        <v>81</v>
      </c>
      <c r="K20" s="33">
        <v>67.41</v>
      </c>
      <c r="L20" t="s">
        <v>97</v>
      </c>
      <c r="M20" s="31">
        <v>32.96</v>
      </c>
      <c r="N20" t="s">
        <v>97</v>
      </c>
      <c r="O20" s="30">
        <v>32.96</v>
      </c>
      <c r="P20" t="s">
        <v>78</v>
      </c>
      <c r="Q20" s="37">
        <v>19.260000000000002</v>
      </c>
      <c r="R20"/>
      <c r="S20"/>
      <c r="T20" t="s">
        <v>46</v>
      </c>
      <c r="U20" s="15">
        <v>92.59</v>
      </c>
      <c r="V20" t="s">
        <v>88</v>
      </c>
      <c r="W20" s="30">
        <v>85.19</v>
      </c>
      <c r="X20">
        <v>34714</v>
      </c>
      <c r="Y20">
        <v>3170</v>
      </c>
      <c r="Z20">
        <v>37884</v>
      </c>
      <c r="AA20">
        <v>2387</v>
      </c>
      <c r="AB20">
        <v>207</v>
      </c>
      <c r="AC20">
        <v>2802</v>
      </c>
      <c r="AD20">
        <v>50</v>
      </c>
      <c r="AE20" s="30">
        <v>2</v>
      </c>
      <c r="AF20" s="13">
        <v>52</v>
      </c>
      <c r="AG20">
        <v>128.57</v>
      </c>
      <c r="AH20">
        <v>11.74</v>
      </c>
      <c r="AI20">
        <v>11.74</v>
      </c>
      <c r="AJ20">
        <v>10.38</v>
      </c>
      <c r="AK20" s="30">
        <v>0.77</v>
      </c>
      <c r="AL20">
        <v>0.77</v>
      </c>
      <c r="AM20">
        <v>0.19</v>
      </c>
      <c r="AN20">
        <v>0.01</v>
      </c>
      <c r="AO20" s="30">
        <v>0.19</v>
      </c>
      <c r="AP20">
        <v>128.22</v>
      </c>
      <c r="AQ20" s="12">
        <v>141369300000</v>
      </c>
      <c r="AR20" s="12">
        <v>190870397300</v>
      </c>
      <c r="AS20" s="24" t="str">
        <f>HYPERLINK("https://github.com/lottpicker/daily1689/blob/main/summary-v42.txt", "Click view")</f>
        <v>Click view</v>
      </c>
    </row>
    <row r="21" spans="1:45" x14ac:dyDescent="0.35">
      <c r="A21" s="30">
        <v>45</v>
      </c>
      <c r="B21" t="s">
        <v>39</v>
      </c>
      <c r="C21" t="s">
        <v>40</v>
      </c>
      <c r="D21" s="22">
        <v>138.19999999999999</v>
      </c>
      <c r="E21" s="16">
        <v>54002546000</v>
      </c>
      <c r="F21">
        <v>40771</v>
      </c>
      <c r="G21">
        <v>3393</v>
      </c>
      <c r="H21" t="s">
        <v>74</v>
      </c>
      <c r="I21" s="33">
        <v>31.11</v>
      </c>
      <c r="J21" t="s">
        <v>75</v>
      </c>
      <c r="K21" s="33">
        <v>66.67</v>
      </c>
      <c r="L21" t="s">
        <v>58</v>
      </c>
      <c r="M21" s="34">
        <v>36.67</v>
      </c>
      <c r="N21" t="s">
        <v>58</v>
      </c>
      <c r="O21" s="27">
        <v>36.67</v>
      </c>
      <c r="P21" t="s">
        <v>63</v>
      </c>
      <c r="Q21" s="35">
        <v>21.11</v>
      </c>
      <c r="R21"/>
      <c r="S21"/>
      <c r="T21" t="s">
        <v>45</v>
      </c>
      <c r="U21" s="14">
        <v>100</v>
      </c>
      <c r="V21" t="s">
        <v>51</v>
      </c>
      <c r="W21" s="14">
        <v>96.3</v>
      </c>
      <c r="X21">
        <v>34749</v>
      </c>
      <c r="Y21">
        <v>3175</v>
      </c>
      <c r="Z21">
        <v>37924</v>
      </c>
      <c r="AA21">
        <v>2360</v>
      </c>
      <c r="AB21">
        <v>212</v>
      </c>
      <c r="AC21">
        <v>2792</v>
      </c>
      <c r="AD21">
        <v>49</v>
      </c>
      <c r="AE21" s="30">
        <v>6</v>
      </c>
      <c r="AF21" s="13">
        <v>55</v>
      </c>
      <c r="AG21">
        <v>128.69999999999999</v>
      </c>
      <c r="AH21">
        <v>11.76</v>
      </c>
      <c r="AI21">
        <v>11.76</v>
      </c>
      <c r="AJ21">
        <v>10.34</v>
      </c>
      <c r="AK21" s="30">
        <v>0.79</v>
      </c>
      <c r="AL21">
        <v>0.79</v>
      </c>
      <c r="AM21">
        <v>0.18</v>
      </c>
      <c r="AN21">
        <v>0.02</v>
      </c>
      <c r="AO21" s="13">
        <v>0.2</v>
      </c>
      <c r="AP21">
        <v>128.16999999999999</v>
      </c>
      <c r="AQ21" s="12">
        <v>141369300000</v>
      </c>
      <c r="AR21" s="16">
        <v>195371846000</v>
      </c>
      <c r="AS21" s="24" t="str">
        <f>HYPERLINK("https://github.com/lottpicker/daily1689/blob/main/summary-v45.txt", "Click view")</f>
        <v>Click view</v>
      </c>
    </row>
    <row r="22" spans="1:45" x14ac:dyDescent="0.35">
      <c r="A22">
        <v>34</v>
      </c>
      <c r="B22" t="s">
        <v>39</v>
      </c>
      <c r="C22" t="s">
        <v>40</v>
      </c>
      <c r="D22" s="31">
        <v>129.69</v>
      </c>
      <c r="E22" s="12">
        <v>42004271100</v>
      </c>
      <c r="F22">
        <v>40752</v>
      </c>
      <c r="G22">
        <v>3420</v>
      </c>
      <c r="H22" t="s">
        <v>108</v>
      </c>
      <c r="I22" s="33">
        <v>32.22</v>
      </c>
      <c r="J22" t="s">
        <v>75</v>
      </c>
      <c r="K22" s="33">
        <v>66.67</v>
      </c>
      <c r="L22" t="s">
        <v>85</v>
      </c>
      <c r="M22" s="36">
        <v>34.07</v>
      </c>
      <c r="N22" t="s">
        <v>85</v>
      </c>
      <c r="O22" s="30">
        <v>34.07</v>
      </c>
      <c r="P22" t="s">
        <v>117</v>
      </c>
      <c r="Q22" s="37">
        <v>17.04</v>
      </c>
      <c r="R22"/>
      <c r="S22"/>
      <c r="T22" t="s">
        <v>51</v>
      </c>
      <c r="U22" s="14">
        <v>96.3</v>
      </c>
      <c r="V22" t="s">
        <v>72</v>
      </c>
      <c r="W22" s="30">
        <v>88.89</v>
      </c>
      <c r="X22">
        <v>34740</v>
      </c>
      <c r="Y22">
        <v>3185</v>
      </c>
      <c r="Z22">
        <v>37925</v>
      </c>
      <c r="AA22">
        <v>2379</v>
      </c>
      <c r="AB22">
        <v>233</v>
      </c>
      <c r="AC22">
        <v>2784</v>
      </c>
      <c r="AD22">
        <v>41</v>
      </c>
      <c r="AE22">
        <v>2</v>
      </c>
      <c r="AF22" s="30">
        <v>43</v>
      </c>
      <c r="AG22">
        <v>128.66999999999999</v>
      </c>
      <c r="AH22">
        <v>11.8</v>
      </c>
      <c r="AI22">
        <v>11.8</v>
      </c>
      <c r="AJ22">
        <v>10.31</v>
      </c>
      <c r="AK22">
        <v>0.86</v>
      </c>
      <c r="AL22">
        <v>0.86</v>
      </c>
      <c r="AM22">
        <v>0.15</v>
      </c>
      <c r="AN22">
        <v>0.01</v>
      </c>
      <c r="AO22" s="30">
        <v>0.16</v>
      </c>
      <c r="AP22">
        <v>128.16</v>
      </c>
      <c r="AQ22" s="12">
        <v>141453000000</v>
      </c>
      <c r="AR22" s="12">
        <v>183457271100</v>
      </c>
      <c r="AS22" s="24" t="str">
        <f>HYPERLINK("https://github.com/lottpicker/daily1689/blob/main/summary-v34.txt", "Click view")</f>
        <v>Click view</v>
      </c>
    </row>
    <row r="23" spans="1:45" x14ac:dyDescent="0.35">
      <c r="A23">
        <v>62</v>
      </c>
      <c r="B23" t="s">
        <v>39</v>
      </c>
      <c r="C23" t="s">
        <v>40</v>
      </c>
      <c r="D23" s="30">
        <v>129.25</v>
      </c>
      <c r="E23" s="12">
        <v>41347921100</v>
      </c>
      <c r="F23">
        <v>40706</v>
      </c>
      <c r="G23">
        <v>3405</v>
      </c>
      <c r="H23" t="s">
        <v>74</v>
      </c>
      <c r="I23" s="30">
        <v>31.11</v>
      </c>
      <c r="J23" t="s">
        <v>119</v>
      </c>
      <c r="K23" s="30">
        <v>66.3</v>
      </c>
      <c r="L23" t="s">
        <v>83</v>
      </c>
      <c r="M23" s="30">
        <v>33.33</v>
      </c>
      <c r="N23" t="s">
        <v>83</v>
      </c>
      <c r="O23" s="30">
        <v>33.33</v>
      </c>
      <c r="P23" t="s">
        <v>106</v>
      </c>
      <c r="Q23" s="30">
        <v>17.78</v>
      </c>
      <c r="R23"/>
      <c r="S23"/>
      <c r="T23" t="s">
        <v>72</v>
      </c>
      <c r="U23" s="30">
        <v>88.89</v>
      </c>
      <c r="V23" t="s">
        <v>88</v>
      </c>
      <c r="W23" s="30">
        <v>85.19</v>
      </c>
      <c r="X23">
        <v>34706</v>
      </c>
      <c r="Y23">
        <v>3172</v>
      </c>
      <c r="Z23">
        <v>37878</v>
      </c>
      <c r="AA23">
        <v>2384</v>
      </c>
      <c r="AB23">
        <v>229</v>
      </c>
      <c r="AC23">
        <v>2785</v>
      </c>
      <c r="AD23">
        <v>39</v>
      </c>
      <c r="AE23">
        <v>4</v>
      </c>
      <c r="AF23" s="30">
        <v>43</v>
      </c>
      <c r="AG23">
        <v>128.54</v>
      </c>
      <c r="AH23">
        <v>11.75</v>
      </c>
      <c r="AI23">
        <v>11.75</v>
      </c>
      <c r="AJ23">
        <v>10.31</v>
      </c>
      <c r="AK23">
        <v>0.85</v>
      </c>
      <c r="AL23">
        <v>0.85</v>
      </c>
      <c r="AM23">
        <v>0.14000000000000001</v>
      </c>
      <c r="AN23">
        <v>0.01</v>
      </c>
      <c r="AO23" s="30">
        <v>0.16</v>
      </c>
      <c r="AP23">
        <v>128.13999999999999</v>
      </c>
      <c r="AQ23" s="12">
        <v>141369300000</v>
      </c>
      <c r="AR23" s="12">
        <v>182717221100</v>
      </c>
      <c r="AS23" s="30" t="str">
        <f>HYPERLINK("https://github.com/lottpicker/daily1689/blob/main/summary-v62.txt", "Click view")</f>
        <v>Click view</v>
      </c>
    </row>
    <row r="24" spans="1:45" x14ac:dyDescent="0.35">
      <c r="A24" s="30">
        <v>10</v>
      </c>
      <c r="B24" t="s">
        <v>39</v>
      </c>
      <c r="C24" t="s">
        <v>40</v>
      </c>
      <c r="D24" s="29">
        <v>137.07</v>
      </c>
      <c r="E24" s="21">
        <v>52408961400</v>
      </c>
      <c r="F24">
        <v>40780</v>
      </c>
      <c r="G24">
        <v>3352</v>
      </c>
      <c r="H24" t="s">
        <v>91</v>
      </c>
      <c r="I24" s="33">
        <v>31.48</v>
      </c>
      <c r="J24" t="s">
        <v>67</v>
      </c>
      <c r="K24" s="33">
        <v>65.930000000000007</v>
      </c>
      <c r="L24" t="s">
        <v>41</v>
      </c>
      <c r="M24" s="34">
        <v>35.93</v>
      </c>
      <c r="N24" t="s">
        <v>41</v>
      </c>
      <c r="O24" s="30">
        <v>35.93</v>
      </c>
      <c r="P24" t="s">
        <v>69</v>
      </c>
      <c r="Q24" s="45">
        <v>21.48</v>
      </c>
      <c r="R24"/>
      <c r="S24"/>
      <c r="T24" t="s">
        <v>46</v>
      </c>
      <c r="U24" s="15">
        <v>92.59</v>
      </c>
      <c r="V24" t="s">
        <v>73</v>
      </c>
      <c r="W24" s="30">
        <v>81.48</v>
      </c>
      <c r="X24">
        <v>34813</v>
      </c>
      <c r="Y24">
        <v>3126</v>
      </c>
      <c r="Z24">
        <v>37939</v>
      </c>
      <c r="AA24">
        <v>2356</v>
      </c>
      <c r="AB24">
        <v>220</v>
      </c>
      <c r="AC24">
        <v>2788</v>
      </c>
      <c r="AD24">
        <v>47</v>
      </c>
      <c r="AE24" s="30">
        <v>6</v>
      </c>
      <c r="AF24" s="13">
        <v>53</v>
      </c>
      <c r="AG24">
        <v>128.94</v>
      </c>
      <c r="AH24">
        <v>11.58</v>
      </c>
      <c r="AI24">
        <v>11.58</v>
      </c>
      <c r="AJ24">
        <v>10.33</v>
      </c>
      <c r="AK24">
        <v>0.81</v>
      </c>
      <c r="AL24">
        <v>0.81</v>
      </c>
      <c r="AM24">
        <v>0.17</v>
      </c>
      <c r="AN24">
        <v>0.02</v>
      </c>
      <c r="AO24" s="13">
        <v>0.2</v>
      </c>
      <c r="AP24">
        <v>128.33000000000001</v>
      </c>
      <c r="AQ24" s="12">
        <v>141369300000</v>
      </c>
      <c r="AR24" s="12">
        <v>193778261400</v>
      </c>
      <c r="AS24" s="24" t="str">
        <f>HYPERLINK("https://github.com/lottpicker/daily1689/blob/main/summary-v10.txt", "Click view")</f>
        <v>Click view</v>
      </c>
    </row>
    <row r="25" spans="1:45" x14ac:dyDescent="0.35">
      <c r="A25" s="30">
        <v>16</v>
      </c>
      <c r="B25" t="s">
        <v>39</v>
      </c>
      <c r="C25" t="s">
        <v>40</v>
      </c>
      <c r="D25" s="22">
        <v>138.83000000000001</v>
      </c>
      <c r="E25" s="16">
        <v>54891292100</v>
      </c>
      <c r="F25">
        <v>40801</v>
      </c>
      <c r="G25">
        <v>3423</v>
      </c>
      <c r="H25" t="s">
        <v>44</v>
      </c>
      <c r="I25" s="47">
        <v>30.74</v>
      </c>
      <c r="J25" t="s">
        <v>67</v>
      </c>
      <c r="K25" s="33">
        <v>65.930000000000007</v>
      </c>
      <c r="L25" t="s">
        <v>68</v>
      </c>
      <c r="M25" s="36">
        <v>35.19</v>
      </c>
      <c r="N25" t="s">
        <v>68</v>
      </c>
      <c r="O25" s="30">
        <v>35.19</v>
      </c>
      <c r="P25" t="s">
        <v>69</v>
      </c>
      <c r="Q25" s="45">
        <v>21.48</v>
      </c>
      <c r="R25"/>
      <c r="S25"/>
      <c r="T25" t="s">
        <v>45</v>
      </c>
      <c r="U25" s="13">
        <v>100</v>
      </c>
      <c r="V25" t="s">
        <v>46</v>
      </c>
      <c r="W25" s="26">
        <v>92.59</v>
      </c>
      <c r="X25">
        <v>34759</v>
      </c>
      <c r="Y25">
        <v>3201</v>
      </c>
      <c r="Z25">
        <v>37960</v>
      </c>
      <c r="AA25">
        <v>2349</v>
      </c>
      <c r="AB25">
        <v>217</v>
      </c>
      <c r="AC25">
        <v>2786</v>
      </c>
      <c r="AD25">
        <v>50</v>
      </c>
      <c r="AE25">
        <v>5</v>
      </c>
      <c r="AF25" s="13">
        <v>55</v>
      </c>
      <c r="AG25">
        <v>128.74</v>
      </c>
      <c r="AH25">
        <v>11.86</v>
      </c>
      <c r="AI25">
        <v>11.86</v>
      </c>
      <c r="AJ25">
        <v>10.32</v>
      </c>
      <c r="AK25">
        <v>0.8</v>
      </c>
      <c r="AL25">
        <v>0.8</v>
      </c>
      <c r="AM25">
        <v>0.19</v>
      </c>
      <c r="AN25">
        <v>0.02</v>
      </c>
      <c r="AO25" s="13">
        <v>0.2</v>
      </c>
      <c r="AP25">
        <v>128.07</v>
      </c>
      <c r="AQ25" s="12">
        <v>141369300000</v>
      </c>
      <c r="AR25" s="16">
        <v>196260592100</v>
      </c>
      <c r="AS25" s="24" t="str">
        <f>HYPERLINK("https://github.com/lottpicker/daily1689/blob/main/summary-v16.txt", "Click view")</f>
        <v>Click view</v>
      </c>
    </row>
    <row r="26" spans="1:45" x14ac:dyDescent="0.35">
      <c r="A26" s="30">
        <v>31</v>
      </c>
      <c r="B26" t="s">
        <v>39</v>
      </c>
      <c r="C26" t="s">
        <v>40</v>
      </c>
      <c r="D26" s="29">
        <v>136.94999999999999</v>
      </c>
      <c r="E26" s="21">
        <v>52242148000</v>
      </c>
      <c r="F26">
        <v>40771</v>
      </c>
      <c r="G26">
        <v>3348</v>
      </c>
      <c r="H26" t="s">
        <v>74</v>
      </c>
      <c r="I26" s="33">
        <v>31.11</v>
      </c>
      <c r="J26" t="s">
        <v>67</v>
      </c>
      <c r="K26" s="33">
        <v>65.930000000000007</v>
      </c>
      <c r="L26" t="s">
        <v>92</v>
      </c>
      <c r="M26" s="36">
        <v>34.44</v>
      </c>
      <c r="N26" t="s">
        <v>92</v>
      </c>
      <c r="O26" s="30">
        <v>34.44</v>
      </c>
      <c r="P26" t="s">
        <v>63</v>
      </c>
      <c r="Q26" s="35">
        <v>21.11</v>
      </c>
      <c r="R26"/>
      <c r="S26"/>
      <c r="T26" t="s">
        <v>46</v>
      </c>
      <c r="U26" s="15">
        <v>92.59</v>
      </c>
      <c r="V26" t="s">
        <v>88</v>
      </c>
      <c r="W26" s="30">
        <v>85.19</v>
      </c>
      <c r="X26">
        <v>34780</v>
      </c>
      <c r="Y26">
        <v>3144</v>
      </c>
      <c r="Z26">
        <v>37924</v>
      </c>
      <c r="AA26">
        <v>2370</v>
      </c>
      <c r="AB26">
        <v>202</v>
      </c>
      <c r="AC26">
        <v>2792</v>
      </c>
      <c r="AD26">
        <v>53</v>
      </c>
      <c r="AE26" s="30">
        <v>2</v>
      </c>
      <c r="AF26" s="13">
        <v>55</v>
      </c>
      <c r="AG26">
        <v>128.81</v>
      </c>
      <c r="AH26">
        <v>11.64</v>
      </c>
      <c r="AI26">
        <v>11.64</v>
      </c>
      <c r="AJ26">
        <v>10.34</v>
      </c>
      <c r="AK26" s="30">
        <v>0.75</v>
      </c>
      <c r="AL26">
        <v>0.75</v>
      </c>
      <c r="AM26">
        <v>0.2</v>
      </c>
      <c r="AN26">
        <v>0.01</v>
      </c>
      <c r="AO26" s="13">
        <v>0.2</v>
      </c>
      <c r="AP26">
        <v>128.35</v>
      </c>
      <c r="AQ26" s="12">
        <v>141369300000</v>
      </c>
      <c r="AR26" s="12">
        <v>193611448000</v>
      </c>
      <c r="AS26" s="24" t="str">
        <f>HYPERLINK("https://github.com/lottpicker/daily1689/blob/main/summary-v31.txt", "Click view")</f>
        <v>Click view</v>
      </c>
    </row>
    <row r="27" spans="1:45" x14ac:dyDescent="0.35">
      <c r="A27">
        <v>38</v>
      </c>
      <c r="B27" t="s">
        <v>39</v>
      </c>
      <c r="C27" t="s">
        <v>40</v>
      </c>
      <c r="D27" s="31">
        <v>130.88</v>
      </c>
      <c r="E27" s="12">
        <v>43674962700</v>
      </c>
      <c r="F27">
        <v>40755</v>
      </c>
      <c r="G27">
        <v>3426</v>
      </c>
      <c r="H27" t="s">
        <v>97</v>
      </c>
      <c r="I27" s="33">
        <v>32.96</v>
      </c>
      <c r="J27" t="s">
        <v>67</v>
      </c>
      <c r="K27" s="33">
        <v>65.930000000000007</v>
      </c>
      <c r="L27" t="s">
        <v>47</v>
      </c>
      <c r="M27" s="31">
        <v>33.700000000000003</v>
      </c>
      <c r="N27" t="s">
        <v>47</v>
      </c>
      <c r="O27" s="30">
        <v>33.700000000000003</v>
      </c>
      <c r="P27" t="s">
        <v>112</v>
      </c>
      <c r="Q27" s="37">
        <v>16.3</v>
      </c>
      <c r="R27"/>
      <c r="S27"/>
      <c r="T27" t="s">
        <v>46</v>
      </c>
      <c r="U27" s="15">
        <v>92.59</v>
      </c>
      <c r="V27" t="s">
        <v>72</v>
      </c>
      <c r="W27" s="30">
        <v>88.89</v>
      </c>
      <c r="X27">
        <v>34723</v>
      </c>
      <c r="Y27">
        <v>3200</v>
      </c>
      <c r="Z27">
        <v>37923</v>
      </c>
      <c r="AA27">
        <v>2383</v>
      </c>
      <c r="AB27">
        <v>219</v>
      </c>
      <c r="AC27">
        <v>2786</v>
      </c>
      <c r="AD27">
        <v>39</v>
      </c>
      <c r="AE27" s="13">
        <v>7</v>
      </c>
      <c r="AF27" s="30">
        <v>46</v>
      </c>
      <c r="AG27">
        <v>128.6</v>
      </c>
      <c r="AH27">
        <v>11.85</v>
      </c>
      <c r="AI27">
        <v>11.85</v>
      </c>
      <c r="AJ27">
        <v>10.32</v>
      </c>
      <c r="AK27">
        <v>0.81</v>
      </c>
      <c r="AL27">
        <v>0.81</v>
      </c>
      <c r="AM27">
        <v>0.14000000000000001</v>
      </c>
      <c r="AN27">
        <v>0.03</v>
      </c>
      <c r="AO27">
        <v>0.17</v>
      </c>
      <c r="AP27">
        <v>128.13999999999999</v>
      </c>
      <c r="AQ27" s="12">
        <v>141453000000</v>
      </c>
      <c r="AR27" s="12">
        <v>185127962700</v>
      </c>
      <c r="AS27" s="24" t="str">
        <f>HYPERLINK("https://github.com/lottpicker/daily1689/blob/main/summary-v38.txt", "Click view")</f>
        <v>Click view</v>
      </c>
    </row>
    <row r="28" spans="1:45" x14ac:dyDescent="0.35">
      <c r="A28">
        <v>20</v>
      </c>
      <c r="B28" t="s">
        <v>39</v>
      </c>
      <c r="C28" t="s">
        <v>40</v>
      </c>
      <c r="D28" s="22">
        <v>138.19</v>
      </c>
      <c r="E28" s="16">
        <v>53991379900</v>
      </c>
      <c r="F28">
        <v>40771</v>
      </c>
      <c r="G28">
        <v>3411</v>
      </c>
      <c r="H28" t="s">
        <v>47</v>
      </c>
      <c r="I28" s="33">
        <v>33.700000000000003</v>
      </c>
      <c r="J28" t="s">
        <v>76</v>
      </c>
      <c r="K28" s="33">
        <v>65.56</v>
      </c>
      <c r="L28" t="s">
        <v>41</v>
      </c>
      <c r="M28" s="36">
        <v>35.93</v>
      </c>
      <c r="N28" t="s">
        <v>41</v>
      </c>
      <c r="O28" s="30">
        <v>35.93</v>
      </c>
      <c r="P28" t="s">
        <v>63</v>
      </c>
      <c r="Q28" s="45">
        <v>21.11</v>
      </c>
      <c r="R28"/>
      <c r="S28"/>
      <c r="T28" t="s">
        <v>45</v>
      </c>
      <c r="U28" s="13">
        <v>100</v>
      </c>
      <c r="V28" t="s">
        <v>45</v>
      </c>
      <c r="W28" s="13">
        <v>100</v>
      </c>
      <c r="X28">
        <v>34726</v>
      </c>
      <c r="Y28">
        <v>3198</v>
      </c>
      <c r="Z28">
        <v>37924</v>
      </c>
      <c r="AA28">
        <v>2361</v>
      </c>
      <c r="AB28">
        <v>211</v>
      </c>
      <c r="AC28">
        <v>2792</v>
      </c>
      <c r="AD28">
        <v>53</v>
      </c>
      <c r="AE28">
        <v>2</v>
      </c>
      <c r="AF28" s="13">
        <v>55</v>
      </c>
      <c r="AG28">
        <v>128.61000000000001</v>
      </c>
      <c r="AH28">
        <v>11.84</v>
      </c>
      <c r="AI28">
        <v>11.84</v>
      </c>
      <c r="AJ28">
        <v>10.34</v>
      </c>
      <c r="AK28">
        <v>0.78</v>
      </c>
      <c r="AL28">
        <v>0.78</v>
      </c>
      <c r="AM28">
        <v>0.2</v>
      </c>
      <c r="AN28">
        <v>0.01</v>
      </c>
      <c r="AO28" s="13">
        <v>0.2</v>
      </c>
      <c r="AP28">
        <v>128.11000000000001</v>
      </c>
      <c r="AQ28" s="12">
        <v>141369300000</v>
      </c>
      <c r="AR28" s="16">
        <v>195360679900</v>
      </c>
      <c r="AS28" s="24" t="str">
        <f>HYPERLINK("https://github.com/lottpicker/daily1689/blob/main/summary-v20.txt", "Click view")</f>
        <v>Click view</v>
      </c>
    </row>
    <row r="29" spans="1:45" x14ac:dyDescent="0.35">
      <c r="A29">
        <v>53</v>
      </c>
      <c r="B29" t="s">
        <v>39</v>
      </c>
      <c r="C29" t="s">
        <v>40</v>
      </c>
      <c r="D29" s="29">
        <v>135.4</v>
      </c>
      <c r="E29" s="21">
        <v>50044682800</v>
      </c>
      <c r="F29">
        <v>40738</v>
      </c>
      <c r="G29">
        <v>3346</v>
      </c>
      <c r="H29" t="s">
        <v>83</v>
      </c>
      <c r="I29" s="33">
        <v>33.33</v>
      </c>
      <c r="J29" t="s">
        <v>76</v>
      </c>
      <c r="K29" s="33">
        <v>65.56</v>
      </c>
      <c r="L29" t="s">
        <v>68</v>
      </c>
      <c r="M29" s="36">
        <v>35.19</v>
      </c>
      <c r="N29" t="s">
        <v>68</v>
      </c>
      <c r="O29" s="30">
        <v>35.19</v>
      </c>
      <c r="P29" t="s">
        <v>95</v>
      </c>
      <c r="Q29" s="34">
        <v>20</v>
      </c>
      <c r="R29"/>
      <c r="S29"/>
      <c r="T29" t="s">
        <v>51</v>
      </c>
      <c r="U29" s="14">
        <v>96.3</v>
      </c>
      <c r="V29" t="s">
        <v>72</v>
      </c>
      <c r="W29" s="30">
        <v>88.89</v>
      </c>
      <c r="X29">
        <v>34756</v>
      </c>
      <c r="Y29">
        <v>3128</v>
      </c>
      <c r="Z29">
        <v>37884</v>
      </c>
      <c r="AA29">
        <v>2382</v>
      </c>
      <c r="AB29">
        <v>212</v>
      </c>
      <c r="AC29">
        <v>2802</v>
      </c>
      <c r="AD29">
        <v>46</v>
      </c>
      <c r="AE29">
        <v>6</v>
      </c>
      <c r="AF29" s="13">
        <v>52</v>
      </c>
      <c r="AG29">
        <v>128.72999999999999</v>
      </c>
      <c r="AH29">
        <v>11.59</v>
      </c>
      <c r="AI29">
        <v>11.59</v>
      </c>
      <c r="AJ29">
        <v>10.38</v>
      </c>
      <c r="AK29">
        <v>0.79</v>
      </c>
      <c r="AL29">
        <v>0.79</v>
      </c>
      <c r="AM29">
        <v>0.17</v>
      </c>
      <c r="AN29">
        <v>0.02</v>
      </c>
      <c r="AO29" s="30">
        <v>0.19</v>
      </c>
      <c r="AP29">
        <v>128.38999999999999</v>
      </c>
      <c r="AQ29" s="12">
        <v>141369300000</v>
      </c>
      <c r="AR29" s="12">
        <v>191413982800</v>
      </c>
      <c r="AS29" s="24" t="str">
        <f>HYPERLINK("https://github.com/lottpicker/daily1689/blob/main/summary-v53.txt", "Click view")</f>
        <v>Click view</v>
      </c>
    </row>
    <row r="30" spans="1:45" x14ac:dyDescent="0.35">
      <c r="A30">
        <v>25</v>
      </c>
      <c r="B30" t="s">
        <v>39</v>
      </c>
      <c r="C30" t="s">
        <v>40</v>
      </c>
      <c r="D30" s="31">
        <v>130.80000000000001</v>
      </c>
      <c r="E30" s="12">
        <v>43544659200</v>
      </c>
      <c r="F30">
        <v>40732</v>
      </c>
      <c r="G30">
        <v>3363</v>
      </c>
      <c r="H30" t="s">
        <v>115</v>
      </c>
      <c r="I30" s="33">
        <v>31.85</v>
      </c>
      <c r="J30" t="s">
        <v>76</v>
      </c>
      <c r="K30" s="33">
        <v>65.56</v>
      </c>
      <c r="L30" t="s">
        <v>68</v>
      </c>
      <c r="M30" s="36">
        <v>35.19</v>
      </c>
      <c r="N30" t="s">
        <v>68</v>
      </c>
      <c r="O30" s="30">
        <v>35.19</v>
      </c>
      <c r="P30" t="s">
        <v>114</v>
      </c>
      <c r="Q30" s="37">
        <v>18.149999999999999</v>
      </c>
      <c r="R30"/>
      <c r="S30"/>
      <c r="T30" t="s">
        <v>46</v>
      </c>
      <c r="U30" s="15">
        <v>92.59</v>
      </c>
      <c r="V30" t="s">
        <v>73</v>
      </c>
      <c r="W30" s="30">
        <v>81.48</v>
      </c>
      <c r="X30">
        <v>34767</v>
      </c>
      <c r="Y30">
        <v>3134</v>
      </c>
      <c r="Z30">
        <v>37901</v>
      </c>
      <c r="AA30">
        <v>2378</v>
      </c>
      <c r="AB30">
        <v>228</v>
      </c>
      <c r="AC30">
        <v>2786</v>
      </c>
      <c r="AD30">
        <v>44</v>
      </c>
      <c r="AE30" s="30">
        <v>1</v>
      </c>
      <c r="AF30" s="30">
        <v>45</v>
      </c>
      <c r="AG30">
        <v>128.77000000000001</v>
      </c>
      <c r="AH30">
        <v>11.61</v>
      </c>
      <c r="AI30">
        <v>11.61</v>
      </c>
      <c r="AJ30">
        <v>10.32</v>
      </c>
      <c r="AK30">
        <v>0.84</v>
      </c>
      <c r="AL30">
        <v>0.84</v>
      </c>
      <c r="AM30">
        <v>0.16</v>
      </c>
      <c r="AN30">
        <v>0</v>
      </c>
      <c r="AO30" s="30">
        <v>0.17</v>
      </c>
      <c r="AP30">
        <v>128.29</v>
      </c>
      <c r="AQ30" s="12">
        <v>141369300000</v>
      </c>
      <c r="AR30" s="12">
        <v>184913959200</v>
      </c>
      <c r="AS30" s="24" t="str">
        <f>HYPERLINK("https://github.com/lottpicker/daily1689/blob/main/summary-v25.txt", "Click view")</f>
        <v>Click view</v>
      </c>
    </row>
    <row r="31" spans="1:45" x14ac:dyDescent="0.35">
      <c r="A31" s="30">
        <v>23</v>
      </c>
      <c r="B31" t="s">
        <v>39</v>
      </c>
      <c r="C31" t="s">
        <v>40</v>
      </c>
      <c r="D31" s="31">
        <v>123.59</v>
      </c>
      <c r="E31" s="12">
        <v>33350136600</v>
      </c>
      <c r="F31">
        <v>40670</v>
      </c>
      <c r="G31">
        <v>3413</v>
      </c>
      <c r="H31" t="s">
        <v>47</v>
      </c>
      <c r="I31" s="33">
        <v>33.700000000000003</v>
      </c>
      <c r="J31" t="s">
        <v>76</v>
      </c>
      <c r="K31" s="33">
        <v>65.56</v>
      </c>
      <c r="L31" t="s">
        <v>115</v>
      </c>
      <c r="M31" s="31">
        <v>31.85</v>
      </c>
      <c r="N31" t="s">
        <v>115</v>
      </c>
      <c r="O31">
        <v>31.85</v>
      </c>
      <c r="P31" t="s">
        <v>127</v>
      </c>
      <c r="Q31" s="37">
        <v>14.07</v>
      </c>
      <c r="R31"/>
      <c r="S31"/>
      <c r="T31" t="s">
        <v>46</v>
      </c>
      <c r="U31" s="15">
        <v>92.59</v>
      </c>
      <c r="V31" t="s">
        <v>125</v>
      </c>
      <c r="W31" s="30">
        <v>70.37</v>
      </c>
      <c r="X31">
        <v>34661</v>
      </c>
      <c r="Y31">
        <v>3184</v>
      </c>
      <c r="Z31">
        <v>37845</v>
      </c>
      <c r="AA31">
        <v>2414</v>
      </c>
      <c r="AB31">
        <v>226</v>
      </c>
      <c r="AC31">
        <v>2788</v>
      </c>
      <c r="AD31">
        <v>34</v>
      </c>
      <c r="AE31">
        <v>3</v>
      </c>
      <c r="AF31" s="30">
        <v>37</v>
      </c>
      <c r="AG31">
        <v>128.37</v>
      </c>
      <c r="AH31">
        <v>11.79</v>
      </c>
      <c r="AI31">
        <v>11.79</v>
      </c>
      <c r="AJ31">
        <v>10.33</v>
      </c>
      <c r="AK31">
        <v>0.84</v>
      </c>
      <c r="AL31">
        <v>0.84</v>
      </c>
      <c r="AM31">
        <v>0.13</v>
      </c>
      <c r="AN31">
        <v>0.01</v>
      </c>
      <c r="AO31">
        <v>0.14000000000000001</v>
      </c>
      <c r="AP31">
        <v>128.11000000000001</v>
      </c>
      <c r="AQ31" s="12">
        <v>141369300000</v>
      </c>
      <c r="AR31" s="12">
        <v>174719436600</v>
      </c>
      <c r="AS31" s="24" t="str">
        <f>HYPERLINK("https://github.com/lottpicker/daily1689/blob/main/summary-v23.txt", "Click view")</f>
        <v>Click view</v>
      </c>
    </row>
    <row r="32" spans="1:45" x14ac:dyDescent="0.35">
      <c r="A32" s="30">
        <v>24</v>
      </c>
      <c r="B32" t="s">
        <v>39</v>
      </c>
      <c r="C32" t="s">
        <v>40</v>
      </c>
      <c r="D32" s="31">
        <v>124.12</v>
      </c>
      <c r="E32" s="12">
        <v>34094442400</v>
      </c>
      <c r="F32">
        <v>40671</v>
      </c>
      <c r="G32">
        <v>3419</v>
      </c>
      <c r="H32" t="s">
        <v>115</v>
      </c>
      <c r="I32" s="33">
        <v>31.85</v>
      </c>
      <c r="J32" t="s">
        <v>76</v>
      </c>
      <c r="K32" s="33">
        <v>65.56</v>
      </c>
      <c r="L32" t="s">
        <v>74</v>
      </c>
      <c r="M32" s="31">
        <v>31.11</v>
      </c>
      <c r="N32" t="s">
        <v>74</v>
      </c>
      <c r="O32" s="30">
        <v>31.11</v>
      </c>
      <c r="P32" t="s">
        <v>126</v>
      </c>
      <c r="Q32" s="37">
        <v>15.19</v>
      </c>
      <c r="R32"/>
      <c r="S32"/>
      <c r="T32" t="s">
        <v>46</v>
      </c>
      <c r="U32" s="15">
        <v>92.59</v>
      </c>
      <c r="V32" t="s">
        <v>46</v>
      </c>
      <c r="W32" s="26">
        <v>92.59</v>
      </c>
      <c r="X32">
        <v>34646</v>
      </c>
      <c r="Y32">
        <v>3197</v>
      </c>
      <c r="Z32">
        <v>37843</v>
      </c>
      <c r="AA32">
        <v>2416</v>
      </c>
      <c r="AB32">
        <v>222</v>
      </c>
      <c r="AC32">
        <v>2790</v>
      </c>
      <c r="AD32">
        <v>38</v>
      </c>
      <c r="AE32" s="30">
        <v>0</v>
      </c>
      <c r="AF32" s="30">
        <v>38</v>
      </c>
      <c r="AG32">
        <v>128.32</v>
      </c>
      <c r="AH32">
        <v>11.84</v>
      </c>
      <c r="AI32">
        <v>11.84</v>
      </c>
      <c r="AJ32">
        <v>10.33</v>
      </c>
      <c r="AK32">
        <v>0.82</v>
      </c>
      <c r="AL32">
        <v>0.82</v>
      </c>
      <c r="AM32">
        <v>0.14000000000000001</v>
      </c>
      <c r="AN32">
        <v>0</v>
      </c>
      <c r="AO32" s="30">
        <v>0.14000000000000001</v>
      </c>
      <c r="AP32">
        <v>128.09</v>
      </c>
      <c r="AQ32" s="12">
        <v>141369300000</v>
      </c>
      <c r="AR32" s="12">
        <v>175463742400</v>
      </c>
      <c r="AS32" s="24" t="str">
        <f>HYPERLINK("https://github.com/lottpicker/daily1689/blob/main/summary-v24.txt", "Click view")</f>
        <v>Click view</v>
      </c>
    </row>
    <row r="33" spans="1:45" x14ac:dyDescent="0.35">
      <c r="A33" s="30">
        <v>39</v>
      </c>
      <c r="B33" t="s">
        <v>39</v>
      </c>
      <c r="C33" t="s">
        <v>40</v>
      </c>
      <c r="D33" s="31">
        <v>126.55</v>
      </c>
      <c r="E33" s="12">
        <v>37553095700</v>
      </c>
      <c r="F33">
        <v>40737</v>
      </c>
      <c r="G33">
        <v>3458</v>
      </c>
      <c r="H33" t="s">
        <v>97</v>
      </c>
      <c r="I33" s="33">
        <v>32.96</v>
      </c>
      <c r="J33" t="s">
        <v>76</v>
      </c>
      <c r="K33" s="33">
        <v>65.56</v>
      </c>
      <c r="L33" t="s">
        <v>60</v>
      </c>
      <c r="M33" s="31">
        <v>30</v>
      </c>
      <c r="N33" t="s">
        <v>60</v>
      </c>
      <c r="O33" s="30">
        <v>30</v>
      </c>
      <c r="P33" t="s">
        <v>123</v>
      </c>
      <c r="Q33" s="37">
        <v>14.81</v>
      </c>
      <c r="R33"/>
      <c r="S33"/>
      <c r="T33" t="s">
        <v>73</v>
      </c>
      <c r="U33" s="30">
        <v>81.48</v>
      </c>
      <c r="V33" t="s">
        <v>110</v>
      </c>
      <c r="W33" s="30">
        <v>74.069999999999993</v>
      </c>
      <c r="X33">
        <v>34673</v>
      </c>
      <c r="Y33">
        <v>3237</v>
      </c>
      <c r="Z33">
        <v>37910</v>
      </c>
      <c r="AA33">
        <v>2403</v>
      </c>
      <c r="AB33">
        <v>219</v>
      </c>
      <c r="AC33">
        <v>2786</v>
      </c>
      <c r="AD33">
        <v>39</v>
      </c>
      <c r="AE33">
        <v>2</v>
      </c>
      <c r="AF33" s="30">
        <v>41</v>
      </c>
      <c r="AG33">
        <v>128.41999999999999</v>
      </c>
      <c r="AH33">
        <v>11.99</v>
      </c>
      <c r="AI33">
        <v>11.99</v>
      </c>
      <c r="AJ33">
        <v>10.32</v>
      </c>
      <c r="AK33">
        <v>0.81</v>
      </c>
      <c r="AL33">
        <v>0.81</v>
      </c>
      <c r="AM33">
        <v>0.14000000000000001</v>
      </c>
      <c r="AN33">
        <v>0.01</v>
      </c>
      <c r="AO33">
        <v>0.15</v>
      </c>
      <c r="AP33">
        <v>128.02000000000001</v>
      </c>
      <c r="AQ33" s="12">
        <v>141453000000</v>
      </c>
      <c r="AR33" s="12">
        <v>179006095700</v>
      </c>
      <c r="AS33" s="24" t="str">
        <f>HYPERLINK("https://github.com/lottpicker/daily1689/blob/main/summary-v39.txt", "Click view")</f>
        <v>Click view</v>
      </c>
    </row>
    <row r="34" spans="1:45" x14ac:dyDescent="0.35">
      <c r="A34">
        <v>12</v>
      </c>
      <c r="B34" t="s">
        <v>39</v>
      </c>
      <c r="C34" t="s">
        <v>40</v>
      </c>
      <c r="D34" s="29">
        <v>135.59</v>
      </c>
      <c r="E34" s="21">
        <v>50307411900</v>
      </c>
      <c r="F34">
        <v>40777</v>
      </c>
      <c r="G34">
        <v>3411</v>
      </c>
      <c r="H34" t="s">
        <v>83</v>
      </c>
      <c r="I34" s="33">
        <v>33.33</v>
      </c>
      <c r="J34" t="s">
        <v>96</v>
      </c>
      <c r="K34" s="33">
        <v>65.19</v>
      </c>
      <c r="L34" t="s">
        <v>41</v>
      </c>
      <c r="M34" s="36">
        <v>35.93</v>
      </c>
      <c r="N34" t="s">
        <v>41</v>
      </c>
      <c r="O34" s="30">
        <v>35.93</v>
      </c>
      <c r="P34" t="s">
        <v>90</v>
      </c>
      <c r="Q34" s="37">
        <v>19.63</v>
      </c>
      <c r="R34"/>
      <c r="S34"/>
      <c r="T34" t="s">
        <v>46</v>
      </c>
      <c r="U34" s="15">
        <v>92.59</v>
      </c>
      <c r="V34" t="s">
        <v>46</v>
      </c>
      <c r="W34" s="26">
        <v>92.59</v>
      </c>
      <c r="X34">
        <v>34757</v>
      </c>
      <c r="Y34">
        <v>3188</v>
      </c>
      <c r="Z34">
        <v>37945</v>
      </c>
      <c r="AA34">
        <v>2356</v>
      </c>
      <c r="AB34">
        <v>221</v>
      </c>
      <c r="AC34">
        <v>2781</v>
      </c>
      <c r="AD34">
        <v>49</v>
      </c>
      <c r="AE34" s="30">
        <v>2</v>
      </c>
      <c r="AF34" s="13">
        <v>51</v>
      </c>
      <c r="AG34">
        <v>128.72999999999999</v>
      </c>
      <c r="AH34">
        <v>11.81</v>
      </c>
      <c r="AI34">
        <v>11.81</v>
      </c>
      <c r="AJ34">
        <v>10.3</v>
      </c>
      <c r="AK34">
        <v>0.82</v>
      </c>
      <c r="AL34">
        <v>0.82</v>
      </c>
      <c r="AM34">
        <v>0.18</v>
      </c>
      <c r="AN34">
        <v>0.01</v>
      </c>
      <c r="AO34">
        <v>0.19</v>
      </c>
      <c r="AP34">
        <v>128.11000000000001</v>
      </c>
      <c r="AQ34" s="12">
        <v>141369300000</v>
      </c>
      <c r="AR34" s="12">
        <v>191676711900</v>
      </c>
      <c r="AS34" s="24" t="str">
        <f>HYPERLINK("https://github.com/lottpicker/daily1689/blob/main/summary-v12.txt", "Click view")</f>
        <v>Click view</v>
      </c>
    </row>
    <row r="35" spans="1:45" x14ac:dyDescent="0.35">
      <c r="A35">
        <v>18</v>
      </c>
      <c r="B35" t="s">
        <v>39</v>
      </c>
      <c r="C35" t="s">
        <v>40</v>
      </c>
      <c r="D35" s="31">
        <v>131.91</v>
      </c>
      <c r="E35" s="12">
        <v>45116576700</v>
      </c>
      <c r="F35">
        <v>40715</v>
      </c>
      <c r="G35">
        <v>3314</v>
      </c>
      <c r="H35" t="s">
        <v>108</v>
      </c>
      <c r="I35" s="33">
        <v>32.22</v>
      </c>
      <c r="J35" t="s">
        <v>96</v>
      </c>
      <c r="K35" s="33">
        <v>65.19</v>
      </c>
      <c r="L35" t="s">
        <v>105</v>
      </c>
      <c r="M35" s="36">
        <v>34.81</v>
      </c>
      <c r="N35" t="s">
        <v>105</v>
      </c>
      <c r="O35" s="30">
        <v>34.81</v>
      </c>
      <c r="P35" t="s">
        <v>78</v>
      </c>
      <c r="Q35" s="37">
        <v>19.260000000000002</v>
      </c>
      <c r="R35"/>
      <c r="S35"/>
      <c r="T35" t="s">
        <v>72</v>
      </c>
      <c r="U35" s="30">
        <v>88.89</v>
      </c>
      <c r="V35" t="s">
        <v>72</v>
      </c>
      <c r="W35" s="30">
        <v>88.89</v>
      </c>
      <c r="X35">
        <v>34792</v>
      </c>
      <c r="Y35">
        <v>3079</v>
      </c>
      <c r="Z35">
        <v>37871</v>
      </c>
      <c r="AA35">
        <v>2383</v>
      </c>
      <c r="AB35">
        <v>231</v>
      </c>
      <c r="AC35">
        <v>2798</v>
      </c>
      <c r="AD35">
        <v>42</v>
      </c>
      <c r="AE35" s="30">
        <v>4</v>
      </c>
      <c r="AF35" s="30">
        <v>46</v>
      </c>
      <c r="AG35">
        <v>128.86000000000001</v>
      </c>
      <c r="AH35">
        <v>11.4</v>
      </c>
      <c r="AI35">
        <v>11.4</v>
      </c>
      <c r="AJ35">
        <v>10.36</v>
      </c>
      <c r="AK35">
        <v>0.86</v>
      </c>
      <c r="AL35">
        <v>0.86</v>
      </c>
      <c r="AM35">
        <v>0.16</v>
      </c>
      <c r="AN35">
        <v>0.01</v>
      </c>
      <c r="AO35" s="30">
        <v>0.17</v>
      </c>
      <c r="AP35">
        <v>128.47</v>
      </c>
      <c r="AQ35" s="12">
        <v>141369300000</v>
      </c>
      <c r="AR35" s="12">
        <v>186485876700</v>
      </c>
      <c r="AS35" s="24" t="str">
        <f>HYPERLINK("https://github.com/lottpicker/daily1689/blob/main/summary-v18.txt", "Click view")</f>
        <v>Click view</v>
      </c>
    </row>
    <row r="36" spans="1:45" x14ac:dyDescent="0.35">
      <c r="A36">
        <v>64</v>
      </c>
      <c r="B36" t="s">
        <v>39</v>
      </c>
      <c r="C36" t="s">
        <v>40</v>
      </c>
      <c r="D36" s="30">
        <v>137.56</v>
      </c>
      <c r="E36" s="12">
        <v>53092365700</v>
      </c>
      <c r="F36">
        <v>40738</v>
      </c>
      <c r="G36">
        <v>3373</v>
      </c>
      <c r="H36" t="s">
        <v>83</v>
      </c>
      <c r="I36" s="30">
        <v>33.33</v>
      </c>
      <c r="J36" t="s">
        <v>84</v>
      </c>
      <c r="K36" s="30">
        <v>64.81</v>
      </c>
      <c r="L36" t="s">
        <v>54</v>
      </c>
      <c r="M36" s="13">
        <v>38.520000000000003</v>
      </c>
      <c r="N36" t="s">
        <v>54</v>
      </c>
      <c r="O36" s="13">
        <v>38.520000000000003</v>
      </c>
      <c r="P36" t="s">
        <v>69</v>
      </c>
      <c r="Q36" s="45">
        <v>21.48</v>
      </c>
      <c r="R36"/>
      <c r="S36"/>
      <c r="T36" t="s">
        <v>51</v>
      </c>
      <c r="U36" s="30">
        <v>96.3</v>
      </c>
      <c r="V36" t="s">
        <v>46</v>
      </c>
      <c r="W36" s="30">
        <v>92.59</v>
      </c>
      <c r="X36">
        <v>34751</v>
      </c>
      <c r="Y36">
        <v>3133</v>
      </c>
      <c r="Z36">
        <v>37884</v>
      </c>
      <c r="AA36">
        <v>2363</v>
      </c>
      <c r="AB36">
        <v>231</v>
      </c>
      <c r="AC36">
        <v>2802</v>
      </c>
      <c r="AD36">
        <v>43</v>
      </c>
      <c r="AE36">
        <v>9</v>
      </c>
      <c r="AF36" s="30">
        <v>52</v>
      </c>
      <c r="AG36">
        <v>128.71</v>
      </c>
      <c r="AH36">
        <v>11.6</v>
      </c>
      <c r="AI36">
        <v>11.6</v>
      </c>
      <c r="AJ36">
        <v>10.38</v>
      </c>
      <c r="AK36">
        <v>0.86</v>
      </c>
      <c r="AL36">
        <v>0.86</v>
      </c>
      <c r="AM36">
        <v>0.16</v>
      </c>
      <c r="AN36">
        <v>0.03</v>
      </c>
      <c r="AO36" s="30">
        <v>0.19</v>
      </c>
      <c r="AP36">
        <v>128.26</v>
      </c>
      <c r="AQ36" s="12">
        <v>141369300000</v>
      </c>
      <c r="AR36" s="12">
        <v>194461665700</v>
      </c>
      <c r="AS36" s="30" t="str">
        <f>HYPERLINK("https://github.com/lottpicker/daily1689/blob/main/summary-v64.txt", "Click view")</f>
        <v>Click view</v>
      </c>
    </row>
    <row r="37" spans="1:45" x14ac:dyDescent="0.35">
      <c r="A37">
        <v>29</v>
      </c>
      <c r="B37" t="s">
        <v>39</v>
      </c>
      <c r="C37" t="s">
        <v>40</v>
      </c>
      <c r="D37" s="31">
        <v>126.94</v>
      </c>
      <c r="E37" s="12">
        <v>38080818300</v>
      </c>
      <c r="F37">
        <v>40684</v>
      </c>
      <c r="G37">
        <v>3338</v>
      </c>
      <c r="H37" t="s">
        <v>111</v>
      </c>
      <c r="I37" s="33">
        <v>32.590000000000003</v>
      </c>
      <c r="J37" t="s">
        <v>84</v>
      </c>
      <c r="K37" s="33">
        <v>64.81</v>
      </c>
      <c r="L37" t="s">
        <v>97</v>
      </c>
      <c r="M37" s="31">
        <v>32.96</v>
      </c>
      <c r="N37" t="s">
        <v>97</v>
      </c>
      <c r="O37">
        <v>32.96</v>
      </c>
      <c r="P37" t="s">
        <v>112</v>
      </c>
      <c r="Q37" s="37">
        <v>16.3</v>
      </c>
      <c r="R37"/>
      <c r="S37"/>
      <c r="T37" t="s">
        <v>72</v>
      </c>
      <c r="U37" s="30">
        <v>88.89</v>
      </c>
      <c r="V37" t="s">
        <v>107</v>
      </c>
      <c r="W37" s="30">
        <v>77.78</v>
      </c>
      <c r="X37">
        <v>34728</v>
      </c>
      <c r="Y37">
        <v>3109</v>
      </c>
      <c r="Z37">
        <v>37837</v>
      </c>
      <c r="AA37">
        <v>2417</v>
      </c>
      <c r="AB37">
        <v>225</v>
      </c>
      <c r="AC37">
        <v>2806</v>
      </c>
      <c r="AD37">
        <v>37</v>
      </c>
      <c r="AE37">
        <v>4</v>
      </c>
      <c r="AF37" s="30">
        <v>41</v>
      </c>
      <c r="AG37">
        <v>128.62</v>
      </c>
      <c r="AH37">
        <v>11.51</v>
      </c>
      <c r="AI37">
        <v>11.51</v>
      </c>
      <c r="AJ37">
        <v>10.39</v>
      </c>
      <c r="AK37">
        <v>0.83</v>
      </c>
      <c r="AL37">
        <v>0.83</v>
      </c>
      <c r="AM37">
        <v>0.14000000000000001</v>
      </c>
      <c r="AN37">
        <v>0.01</v>
      </c>
      <c r="AO37">
        <v>0.15</v>
      </c>
      <c r="AP37">
        <v>128.38999999999999</v>
      </c>
      <c r="AQ37" s="12">
        <v>141369300000</v>
      </c>
      <c r="AR37" s="12">
        <v>179450118300</v>
      </c>
      <c r="AS37" s="24" t="str">
        <f>HYPERLINK("https://github.com/lottpicker/daily1689/blob/main/summary-v29.txt", "Click view")</f>
        <v>Click view</v>
      </c>
    </row>
    <row r="38" spans="1:45" x14ac:dyDescent="0.35">
      <c r="A38">
        <v>36</v>
      </c>
      <c r="B38" t="s">
        <v>39</v>
      </c>
      <c r="C38" t="s">
        <v>40</v>
      </c>
      <c r="D38" s="31">
        <v>133.04</v>
      </c>
      <c r="E38" s="12">
        <v>46739833700</v>
      </c>
      <c r="F38">
        <v>40773</v>
      </c>
      <c r="G38">
        <v>3382</v>
      </c>
      <c r="H38" t="s">
        <v>47</v>
      </c>
      <c r="I38" s="33">
        <v>33.700000000000003</v>
      </c>
      <c r="J38" t="s">
        <v>103</v>
      </c>
      <c r="K38" s="33">
        <v>64.44</v>
      </c>
      <c r="L38" t="s">
        <v>68</v>
      </c>
      <c r="M38" s="36">
        <v>35.19</v>
      </c>
      <c r="N38" t="s">
        <v>68</v>
      </c>
      <c r="O38" s="30">
        <v>35.19</v>
      </c>
      <c r="P38" t="s">
        <v>78</v>
      </c>
      <c r="Q38" s="37">
        <v>19.260000000000002</v>
      </c>
      <c r="R38"/>
      <c r="S38"/>
      <c r="T38" t="s">
        <v>51</v>
      </c>
      <c r="U38" s="14">
        <v>96.3</v>
      </c>
      <c r="V38" t="s">
        <v>46</v>
      </c>
      <c r="W38" s="26">
        <v>92.59</v>
      </c>
      <c r="X38">
        <v>34769</v>
      </c>
      <c r="Y38">
        <v>3161</v>
      </c>
      <c r="Z38">
        <v>37930</v>
      </c>
      <c r="AA38">
        <v>2383</v>
      </c>
      <c r="AB38">
        <v>215</v>
      </c>
      <c r="AC38">
        <v>2794</v>
      </c>
      <c r="AD38">
        <v>43</v>
      </c>
      <c r="AE38" s="30">
        <v>6</v>
      </c>
      <c r="AF38" s="30">
        <v>49</v>
      </c>
      <c r="AG38">
        <v>128.77000000000001</v>
      </c>
      <c r="AH38">
        <v>11.71</v>
      </c>
      <c r="AI38">
        <v>11.71</v>
      </c>
      <c r="AJ38">
        <v>10.35</v>
      </c>
      <c r="AK38">
        <v>0.8</v>
      </c>
      <c r="AL38">
        <v>0.8</v>
      </c>
      <c r="AM38">
        <v>0.16</v>
      </c>
      <c r="AN38">
        <v>0.02</v>
      </c>
      <c r="AO38" s="30">
        <v>0.18</v>
      </c>
      <c r="AP38">
        <v>128.30000000000001</v>
      </c>
      <c r="AQ38" s="12">
        <v>141453000000</v>
      </c>
      <c r="AR38" s="12">
        <v>188192833700</v>
      </c>
      <c r="AS38" s="24" t="str">
        <f>HYPERLINK("https://github.com/lottpicker/daily1689/blob/main/summary-v36.txt", "Click view")</f>
        <v>Click view</v>
      </c>
    </row>
    <row r="39" spans="1:45" x14ac:dyDescent="0.35">
      <c r="A39">
        <v>61</v>
      </c>
      <c r="B39" t="s">
        <v>39</v>
      </c>
      <c r="C39" t="s">
        <v>40</v>
      </c>
      <c r="D39" s="30">
        <v>130.97999999999999</v>
      </c>
      <c r="E39" s="12">
        <v>43792295200</v>
      </c>
      <c r="F39">
        <v>40728</v>
      </c>
      <c r="G39">
        <v>3325</v>
      </c>
      <c r="H39" t="s">
        <v>111</v>
      </c>
      <c r="I39" s="30">
        <v>32.590000000000003</v>
      </c>
      <c r="J39" t="s">
        <v>103</v>
      </c>
      <c r="K39" s="30">
        <v>64.44</v>
      </c>
      <c r="L39" t="s">
        <v>68</v>
      </c>
      <c r="M39" s="30">
        <v>35.19</v>
      </c>
      <c r="N39" t="s">
        <v>68</v>
      </c>
      <c r="O39">
        <v>35.19</v>
      </c>
      <c r="P39" t="s">
        <v>106</v>
      </c>
      <c r="Q39" s="30">
        <v>17.78</v>
      </c>
      <c r="R39"/>
      <c r="S39"/>
      <c r="T39" t="s">
        <v>46</v>
      </c>
      <c r="U39" s="30">
        <v>92.59</v>
      </c>
      <c r="V39" t="s">
        <v>88</v>
      </c>
      <c r="W39" s="30">
        <v>85.19</v>
      </c>
      <c r="X39">
        <v>34780</v>
      </c>
      <c r="Y39">
        <v>3106</v>
      </c>
      <c r="Z39">
        <v>37886</v>
      </c>
      <c r="AA39">
        <v>2393</v>
      </c>
      <c r="AB39">
        <v>214</v>
      </c>
      <c r="AC39">
        <v>2795</v>
      </c>
      <c r="AD39">
        <v>42</v>
      </c>
      <c r="AE39">
        <v>5</v>
      </c>
      <c r="AF39" s="30">
        <v>47</v>
      </c>
      <c r="AG39">
        <v>128.81</v>
      </c>
      <c r="AH39">
        <v>11.5</v>
      </c>
      <c r="AI39">
        <v>11.5</v>
      </c>
      <c r="AJ39">
        <v>10.35</v>
      </c>
      <c r="AK39">
        <v>0.79</v>
      </c>
      <c r="AL39">
        <v>0.79</v>
      </c>
      <c r="AM39">
        <v>0.16</v>
      </c>
      <c r="AN39">
        <v>0.02</v>
      </c>
      <c r="AO39" s="30">
        <v>0.17</v>
      </c>
      <c r="AP39">
        <v>128.43</v>
      </c>
      <c r="AQ39" s="12">
        <v>141369300000</v>
      </c>
      <c r="AR39" s="12">
        <v>185161595200</v>
      </c>
      <c r="AS39" s="30" t="str">
        <f>HYPERLINK("https://github.com/lottpicker/daily1689/blob/main/summary-v61.txt", "Click view")</f>
        <v>Click view</v>
      </c>
    </row>
    <row r="40" spans="1:45" x14ac:dyDescent="0.35">
      <c r="A40">
        <v>33</v>
      </c>
      <c r="B40" t="s">
        <v>39</v>
      </c>
      <c r="C40" t="s">
        <v>40</v>
      </c>
      <c r="D40" s="31">
        <v>133.02000000000001</v>
      </c>
      <c r="E40" s="12">
        <v>46703825900</v>
      </c>
      <c r="F40">
        <v>40788</v>
      </c>
      <c r="G40">
        <v>3325</v>
      </c>
      <c r="H40" t="s">
        <v>83</v>
      </c>
      <c r="I40" s="33">
        <v>33.33</v>
      </c>
      <c r="J40" t="s">
        <v>103</v>
      </c>
      <c r="K40" s="33">
        <v>64.44</v>
      </c>
      <c r="L40" t="s">
        <v>83</v>
      </c>
      <c r="M40" s="31">
        <v>33.33</v>
      </c>
      <c r="N40" t="s">
        <v>83</v>
      </c>
      <c r="O40" s="30">
        <v>33.33</v>
      </c>
      <c r="P40" t="s">
        <v>90</v>
      </c>
      <c r="Q40" s="37">
        <v>19.63</v>
      </c>
      <c r="R40"/>
      <c r="S40"/>
      <c r="T40" t="s">
        <v>51</v>
      </c>
      <c r="U40" s="14">
        <v>96.3</v>
      </c>
      <c r="V40" t="s">
        <v>46</v>
      </c>
      <c r="W40" s="26">
        <v>92.59</v>
      </c>
      <c r="X40">
        <v>34843</v>
      </c>
      <c r="Y40">
        <v>3107</v>
      </c>
      <c r="Z40">
        <v>37950</v>
      </c>
      <c r="AA40">
        <v>2376</v>
      </c>
      <c r="AB40">
        <v>217</v>
      </c>
      <c r="AC40">
        <v>2789</v>
      </c>
      <c r="AD40">
        <v>48</v>
      </c>
      <c r="AE40" s="30">
        <v>1</v>
      </c>
      <c r="AF40" s="30">
        <v>49</v>
      </c>
      <c r="AG40">
        <v>129.05000000000001</v>
      </c>
      <c r="AH40">
        <v>11.51</v>
      </c>
      <c r="AI40">
        <v>11.51</v>
      </c>
      <c r="AJ40">
        <v>10.33</v>
      </c>
      <c r="AK40">
        <v>0.8</v>
      </c>
      <c r="AL40">
        <v>0.8</v>
      </c>
      <c r="AM40">
        <v>0.18</v>
      </c>
      <c r="AN40">
        <v>0</v>
      </c>
      <c r="AO40" s="30">
        <v>0.18</v>
      </c>
      <c r="AP40">
        <v>128.51</v>
      </c>
      <c r="AQ40" s="12">
        <v>141453000000</v>
      </c>
      <c r="AR40" s="12">
        <v>188156825900</v>
      </c>
      <c r="AS40" s="24" t="str">
        <f>HYPERLINK("https://github.com/lottpicker/daily1689/blob/main/summary-v33.txt", "Click view")</f>
        <v>Click view</v>
      </c>
    </row>
    <row r="41" spans="1:45" x14ac:dyDescent="0.35">
      <c r="A41">
        <v>44</v>
      </c>
      <c r="B41" t="s">
        <v>39</v>
      </c>
      <c r="C41" t="s">
        <v>40</v>
      </c>
      <c r="D41" s="31">
        <v>134.38999999999999</v>
      </c>
      <c r="E41" s="12">
        <v>48611685100</v>
      </c>
      <c r="F41">
        <v>40738</v>
      </c>
      <c r="G41">
        <v>3283</v>
      </c>
      <c r="H41" t="s">
        <v>47</v>
      </c>
      <c r="I41" s="33">
        <v>33.700000000000003</v>
      </c>
      <c r="J41" t="s">
        <v>103</v>
      </c>
      <c r="K41" s="33">
        <v>64.44</v>
      </c>
      <c r="L41" t="s">
        <v>97</v>
      </c>
      <c r="M41" s="31">
        <v>32.96</v>
      </c>
      <c r="N41" t="s">
        <v>97</v>
      </c>
      <c r="O41" s="30">
        <v>32.96</v>
      </c>
      <c r="P41" t="s">
        <v>90</v>
      </c>
      <c r="Q41" s="37">
        <v>19.63</v>
      </c>
      <c r="R41"/>
      <c r="S41"/>
      <c r="T41" t="s">
        <v>72</v>
      </c>
      <c r="U41" s="30">
        <v>88.89</v>
      </c>
      <c r="V41" t="s">
        <v>72</v>
      </c>
      <c r="W41" s="30">
        <v>88.89</v>
      </c>
      <c r="X41">
        <v>34811</v>
      </c>
      <c r="Y41">
        <v>3073</v>
      </c>
      <c r="Z41">
        <v>37884</v>
      </c>
      <c r="AA41">
        <v>2389</v>
      </c>
      <c r="AB41">
        <v>205</v>
      </c>
      <c r="AC41">
        <v>2802</v>
      </c>
      <c r="AD41">
        <v>47</v>
      </c>
      <c r="AE41">
        <v>5</v>
      </c>
      <c r="AF41" s="13">
        <v>52</v>
      </c>
      <c r="AG41">
        <v>128.93</v>
      </c>
      <c r="AH41">
        <v>11.38</v>
      </c>
      <c r="AI41">
        <v>11.38</v>
      </c>
      <c r="AJ41">
        <v>10.38</v>
      </c>
      <c r="AK41">
        <v>0.76</v>
      </c>
      <c r="AL41">
        <v>0.76</v>
      </c>
      <c r="AM41">
        <v>0.17</v>
      </c>
      <c r="AN41">
        <v>0.02</v>
      </c>
      <c r="AO41" s="30">
        <v>0.19</v>
      </c>
      <c r="AP41">
        <v>128.61000000000001</v>
      </c>
      <c r="AQ41" s="12">
        <v>141369300000</v>
      </c>
      <c r="AR41" s="12">
        <v>189980985100</v>
      </c>
      <c r="AS41" s="24" t="str">
        <f>HYPERLINK("https://github.com/lottpicker/daily1689/blob/main/summary-v44.txt", "Click view")</f>
        <v>Click view</v>
      </c>
    </row>
    <row r="42" spans="1:45" x14ac:dyDescent="0.35">
      <c r="A42">
        <v>35</v>
      </c>
      <c r="B42" t="s">
        <v>39</v>
      </c>
      <c r="C42" t="s">
        <v>40</v>
      </c>
      <c r="D42" s="31">
        <v>127.01</v>
      </c>
      <c r="E42" s="12">
        <v>38200519700</v>
      </c>
      <c r="F42">
        <v>40759</v>
      </c>
      <c r="G42">
        <v>3357</v>
      </c>
      <c r="H42" t="s">
        <v>105</v>
      </c>
      <c r="I42" s="33">
        <v>34.81</v>
      </c>
      <c r="J42" t="s">
        <v>103</v>
      </c>
      <c r="K42" s="33">
        <v>64.44</v>
      </c>
      <c r="L42" t="s">
        <v>56</v>
      </c>
      <c r="M42" s="31">
        <v>30.37</v>
      </c>
      <c r="N42" t="s">
        <v>56</v>
      </c>
      <c r="O42">
        <v>30.37</v>
      </c>
      <c r="P42" t="s">
        <v>117</v>
      </c>
      <c r="Q42" s="37">
        <v>17.04</v>
      </c>
      <c r="R42"/>
      <c r="S42"/>
      <c r="T42" t="s">
        <v>51</v>
      </c>
      <c r="U42" s="14">
        <v>96.3</v>
      </c>
      <c r="V42" t="s">
        <v>46</v>
      </c>
      <c r="W42" s="26">
        <v>92.59</v>
      </c>
      <c r="X42">
        <v>34793</v>
      </c>
      <c r="Y42">
        <v>3142</v>
      </c>
      <c r="Z42">
        <v>37935</v>
      </c>
      <c r="AA42">
        <v>2398</v>
      </c>
      <c r="AB42">
        <v>211</v>
      </c>
      <c r="AC42">
        <v>2781</v>
      </c>
      <c r="AD42">
        <v>39</v>
      </c>
      <c r="AE42" s="30">
        <v>4</v>
      </c>
      <c r="AF42" s="30">
        <v>43</v>
      </c>
      <c r="AG42">
        <v>128.86000000000001</v>
      </c>
      <c r="AH42">
        <v>11.64</v>
      </c>
      <c r="AI42">
        <v>11.64</v>
      </c>
      <c r="AJ42">
        <v>10.3</v>
      </c>
      <c r="AK42">
        <v>0.78</v>
      </c>
      <c r="AL42">
        <v>0.78</v>
      </c>
      <c r="AM42">
        <v>0.14000000000000001</v>
      </c>
      <c r="AN42">
        <v>0.01</v>
      </c>
      <c r="AO42">
        <v>0.16</v>
      </c>
      <c r="AP42">
        <v>128.38999999999999</v>
      </c>
      <c r="AQ42" s="12">
        <v>141453000000</v>
      </c>
      <c r="AR42" s="12">
        <v>179653519700</v>
      </c>
      <c r="AS42" s="24" t="str">
        <f>HYPERLINK("https://github.com/lottpicker/daily1689/blob/main/summary-v35.txt", "Click view")</f>
        <v>Click view</v>
      </c>
    </row>
    <row r="43" spans="1:45" x14ac:dyDescent="0.35">
      <c r="A43" s="30">
        <v>49</v>
      </c>
      <c r="B43" t="s">
        <v>39</v>
      </c>
      <c r="C43" t="s">
        <v>40</v>
      </c>
      <c r="D43" s="29">
        <v>137.41999999999999</v>
      </c>
      <c r="E43" s="21">
        <v>52902770000</v>
      </c>
      <c r="F43">
        <v>40801</v>
      </c>
      <c r="G43">
        <v>3370</v>
      </c>
      <c r="H43" t="s">
        <v>85</v>
      </c>
      <c r="I43" s="33">
        <v>34.07</v>
      </c>
      <c r="J43" t="s">
        <v>86</v>
      </c>
      <c r="K43" s="33">
        <v>63.7</v>
      </c>
      <c r="L43" t="s">
        <v>87</v>
      </c>
      <c r="M43" s="34">
        <v>36.299999999999997</v>
      </c>
      <c r="N43" t="s">
        <v>87</v>
      </c>
      <c r="O43" s="27">
        <v>36.299999999999997</v>
      </c>
      <c r="P43" t="s">
        <v>63</v>
      </c>
      <c r="Q43" s="35">
        <v>21.11</v>
      </c>
      <c r="R43"/>
      <c r="S43"/>
      <c r="T43" t="s">
        <v>72</v>
      </c>
      <c r="U43" s="30">
        <v>88.89</v>
      </c>
      <c r="V43" t="s">
        <v>88</v>
      </c>
      <c r="W43" s="30">
        <v>85.19</v>
      </c>
      <c r="X43">
        <v>34800</v>
      </c>
      <c r="Y43">
        <v>3160</v>
      </c>
      <c r="Z43">
        <v>37960</v>
      </c>
      <c r="AA43">
        <v>2360</v>
      </c>
      <c r="AB43">
        <v>206</v>
      </c>
      <c r="AC43">
        <v>2786</v>
      </c>
      <c r="AD43">
        <v>51</v>
      </c>
      <c r="AE43">
        <v>4</v>
      </c>
      <c r="AF43" s="13">
        <v>55</v>
      </c>
      <c r="AG43">
        <v>128.88999999999999</v>
      </c>
      <c r="AH43">
        <v>11.7</v>
      </c>
      <c r="AI43">
        <v>11.7</v>
      </c>
      <c r="AJ43">
        <v>10.32</v>
      </c>
      <c r="AK43">
        <v>0.76</v>
      </c>
      <c r="AL43">
        <v>0.76</v>
      </c>
      <c r="AM43">
        <v>0.19</v>
      </c>
      <c r="AN43">
        <v>0.01</v>
      </c>
      <c r="AO43" s="13">
        <v>0.2</v>
      </c>
      <c r="AP43" s="30">
        <v>128.28</v>
      </c>
      <c r="AQ43" s="12">
        <v>141369300000</v>
      </c>
      <c r="AR43" s="12">
        <v>194272070000</v>
      </c>
      <c r="AS43" s="24" t="str">
        <f>HYPERLINK("https://github.com/lottpicker/daily1689/blob/main/summary-v49.txt", "Click view")</f>
        <v>Click view</v>
      </c>
    </row>
    <row r="44" spans="1:45" x14ac:dyDescent="0.35">
      <c r="A44">
        <v>56</v>
      </c>
      <c r="B44" t="s">
        <v>39</v>
      </c>
      <c r="C44" t="s">
        <v>40</v>
      </c>
      <c r="D44" s="31">
        <v>128.97</v>
      </c>
      <c r="E44" s="12">
        <v>40960367800</v>
      </c>
      <c r="F44">
        <v>40709</v>
      </c>
      <c r="G44">
        <v>3420</v>
      </c>
      <c r="H44" t="s">
        <v>92</v>
      </c>
      <c r="I44" s="30">
        <v>34.44</v>
      </c>
      <c r="J44" t="s">
        <v>122</v>
      </c>
      <c r="K44" s="30">
        <v>63.33</v>
      </c>
      <c r="L44" t="s">
        <v>47</v>
      </c>
      <c r="M44" s="31">
        <v>33.700000000000003</v>
      </c>
      <c r="N44" t="s">
        <v>47</v>
      </c>
      <c r="O44" s="30">
        <v>33.700000000000003</v>
      </c>
      <c r="P44" t="s">
        <v>117</v>
      </c>
      <c r="Q44" s="37">
        <v>17.04</v>
      </c>
      <c r="R44"/>
      <c r="S44"/>
      <c r="T44" t="s">
        <v>46</v>
      </c>
      <c r="U44" s="15">
        <v>92.59</v>
      </c>
      <c r="V44" t="s">
        <v>88</v>
      </c>
      <c r="W44" s="30">
        <v>85.19</v>
      </c>
      <c r="X44">
        <v>34697</v>
      </c>
      <c r="Y44">
        <v>3186</v>
      </c>
      <c r="Z44">
        <v>37883</v>
      </c>
      <c r="AA44">
        <v>2382</v>
      </c>
      <c r="AB44">
        <v>234</v>
      </c>
      <c r="AC44">
        <v>2784</v>
      </c>
      <c r="AD44">
        <v>42</v>
      </c>
      <c r="AE44" s="30">
        <v>0</v>
      </c>
      <c r="AF44" s="30">
        <v>42</v>
      </c>
      <c r="AG44">
        <v>128.51</v>
      </c>
      <c r="AH44">
        <v>11.8</v>
      </c>
      <c r="AI44">
        <v>11.8</v>
      </c>
      <c r="AJ44">
        <v>10.31</v>
      </c>
      <c r="AK44">
        <v>0.87</v>
      </c>
      <c r="AL44">
        <v>0.87</v>
      </c>
      <c r="AM44">
        <v>0.16</v>
      </c>
      <c r="AN44">
        <v>0</v>
      </c>
      <c r="AO44" s="30">
        <v>0.16</v>
      </c>
      <c r="AP44">
        <v>128.08000000000001</v>
      </c>
      <c r="AQ44" s="12">
        <v>141369300000</v>
      </c>
      <c r="AR44" s="12">
        <v>182329667800</v>
      </c>
      <c r="AS44" s="30" t="str">
        <f>HYPERLINK("https://github.com/lottpicker/daily1689/blob/main/summary-v56.txt", "Click view")</f>
        <v>Click view</v>
      </c>
    </row>
    <row r="45" spans="1:45" x14ac:dyDescent="0.35">
      <c r="A45">
        <v>22</v>
      </c>
      <c r="B45" t="s">
        <v>39</v>
      </c>
      <c r="C45" t="s">
        <v>40</v>
      </c>
      <c r="D45" s="31">
        <v>124.24</v>
      </c>
      <c r="E45" s="12">
        <v>34261464900</v>
      </c>
      <c r="F45">
        <v>40635</v>
      </c>
      <c r="G45">
        <v>3414</v>
      </c>
      <c r="H45" t="s">
        <v>101</v>
      </c>
      <c r="I45" s="33">
        <v>35.56</v>
      </c>
      <c r="J45" t="s">
        <v>122</v>
      </c>
      <c r="K45" s="33">
        <v>63.33</v>
      </c>
      <c r="L45" t="s">
        <v>108</v>
      </c>
      <c r="M45" s="31">
        <v>32.22</v>
      </c>
      <c r="N45" t="s">
        <v>108</v>
      </c>
      <c r="O45">
        <v>32.22</v>
      </c>
      <c r="P45" t="s">
        <v>124</v>
      </c>
      <c r="Q45" s="37">
        <v>15.56</v>
      </c>
      <c r="R45"/>
      <c r="S45"/>
      <c r="T45" t="s">
        <v>73</v>
      </c>
      <c r="U45" s="30">
        <v>81.48</v>
      </c>
      <c r="V45" t="s">
        <v>125</v>
      </c>
      <c r="W45" s="30">
        <v>70.37</v>
      </c>
      <c r="X45">
        <v>34581</v>
      </c>
      <c r="Y45">
        <v>3200</v>
      </c>
      <c r="Z45">
        <v>37781</v>
      </c>
      <c r="AA45">
        <v>2446</v>
      </c>
      <c r="AB45">
        <v>213</v>
      </c>
      <c r="AC45">
        <v>2815</v>
      </c>
      <c r="AD45">
        <v>38</v>
      </c>
      <c r="AE45" s="30">
        <v>1</v>
      </c>
      <c r="AF45" s="30">
        <v>39</v>
      </c>
      <c r="AG45">
        <v>128.08000000000001</v>
      </c>
      <c r="AH45">
        <v>11.85</v>
      </c>
      <c r="AI45">
        <v>11.85</v>
      </c>
      <c r="AJ45">
        <v>10.43</v>
      </c>
      <c r="AK45">
        <v>0.79</v>
      </c>
      <c r="AL45">
        <v>0.79</v>
      </c>
      <c r="AM45">
        <v>0.14000000000000001</v>
      </c>
      <c r="AN45">
        <v>0</v>
      </c>
      <c r="AO45" s="30">
        <v>0.14000000000000001</v>
      </c>
      <c r="AP45">
        <v>128.1</v>
      </c>
      <c r="AQ45" s="12">
        <v>141369300000</v>
      </c>
      <c r="AR45" s="12">
        <v>175630764900</v>
      </c>
      <c r="AS45" s="24" t="str">
        <f>HYPERLINK("https://github.com/lottpicker/daily1689/blob/main/summary-v22.txt", "Click view")</f>
        <v>Click view</v>
      </c>
    </row>
    <row r="46" spans="1:45" x14ac:dyDescent="0.35">
      <c r="A46">
        <v>14</v>
      </c>
      <c r="B46" t="s">
        <v>39</v>
      </c>
      <c r="C46" t="s">
        <v>40</v>
      </c>
      <c r="D46" s="31">
        <v>130.44</v>
      </c>
      <c r="E46" s="12">
        <v>43026460900</v>
      </c>
      <c r="F46">
        <v>40707</v>
      </c>
      <c r="G46">
        <v>3470</v>
      </c>
      <c r="H46" t="s">
        <v>92</v>
      </c>
      <c r="I46" s="33">
        <v>34.44</v>
      </c>
      <c r="J46" t="s">
        <v>104</v>
      </c>
      <c r="K46" s="33">
        <v>62.96</v>
      </c>
      <c r="L46" t="s">
        <v>68</v>
      </c>
      <c r="M46" s="31">
        <v>35.19</v>
      </c>
      <c r="N46" t="s">
        <v>68</v>
      </c>
      <c r="O46">
        <v>35.19</v>
      </c>
      <c r="P46" t="s">
        <v>116</v>
      </c>
      <c r="Q46" s="37">
        <v>18.52</v>
      </c>
      <c r="R46"/>
      <c r="S46"/>
      <c r="T46" t="s">
        <v>51</v>
      </c>
      <c r="U46" s="14">
        <v>96.3</v>
      </c>
      <c r="V46" t="s">
        <v>88</v>
      </c>
      <c r="W46" s="30">
        <v>85.19</v>
      </c>
      <c r="X46">
        <v>34638</v>
      </c>
      <c r="Y46">
        <v>3239</v>
      </c>
      <c r="Z46">
        <v>37877</v>
      </c>
      <c r="AA46">
        <v>2381</v>
      </c>
      <c r="AB46">
        <v>229</v>
      </c>
      <c r="AC46">
        <v>2786</v>
      </c>
      <c r="AD46">
        <v>42</v>
      </c>
      <c r="AE46">
        <v>2</v>
      </c>
      <c r="AF46" s="30">
        <v>44</v>
      </c>
      <c r="AG46">
        <v>128.29</v>
      </c>
      <c r="AH46">
        <v>12</v>
      </c>
      <c r="AI46">
        <v>12</v>
      </c>
      <c r="AJ46">
        <v>10.32</v>
      </c>
      <c r="AK46">
        <v>0.85</v>
      </c>
      <c r="AL46">
        <v>0.85</v>
      </c>
      <c r="AM46">
        <v>0.16</v>
      </c>
      <c r="AN46">
        <v>0.01</v>
      </c>
      <c r="AO46">
        <v>0.16</v>
      </c>
      <c r="AP46">
        <v>127.9</v>
      </c>
      <c r="AQ46" s="12">
        <v>141369300000</v>
      </c>
      <c r="AR46" s="12">
        <v>184395760900</v>
      </c>
      <c r="AS46" s="24" t="str">
        <f>HYPERLINK("https://github.com/lottpicker/daily1689/blob/main/summary-v14.txt", "Click view")</f>
        <v>Click view</v>
      </c>
    </row>
    <row r="47" spans="1:45" x14ac:dyDescent="0.35">
      <c r="A47">
        <v>13</v>
      </c>
      <c r="B47" t="s">
        <v>39</v>
      </c>
      <c r="C47" t="s">
        <v>40</v>
      </c>
      <c r="D47" s="31">
        <v>129.28</v>
      </c>
      <c r="E47" s="12">
        <v>41393479900</v>
      </c>
      <c r="F47">
        <v>40743</v>
      </c>
      <c r="G47">
        <v>3419</v>
      </c>
      <c r="H47" t="s">
        <v>68</v>
      </c>
      <c r="I47" s="33">
        <v>35.19</v>
      </c>
      <c r="J47" t="s">
        <v>104</v>
      </c>
      <c r="K47" s="33">
        <v>62.96</v>
      </c>
      <c r="L47" t="s">
        <v>47</v>
      </c>
      <c r="M47" s="31">
        <v>33.700000000000003</v>
      </c>
      <c r="N47" t="s">
        <v>47</v>
      </c>
      <c r="O47">
        <v>33.700000000000003</v>
      </c>
      <c r="P47" t="s">
        <v>116</v>
      </c>
      <c r="Q47" s="37">
        <v>18.52</v>
      </c>
      <c r="R47"/>
      <c r="S47"/>
      <c r="T47" t="s">
        <v>46</v>
      </c>
      <c r="U47" s="15">
        <v>92.59</v>
      </c>
      <c r="V47" t="s">
        <v>107</v>
      </c>
      <c r="W47" s="30">
        <v>77.78</v>
      </c>
      <c r="X47">
        <v>34727</v>
      </c>
      <c r="Y47">
        <v>3194</v>
      </c>
      <c r="Z47">
        <v>37921</v>
      </c>
      <c r="AA47">
        <v>2381</v>
      </c>
      <c r="AB47">
        <v>221</v>
      </c>
      <c r="AC47">
        <v>2778</v>
      </c>
      <c r="AD47">
        <v>40</v>
      </c>
      <c r="AE47">
        <v>4</v>
      </c>
      <c r="AF47" s="30">
        <v>44</v>
      </c>
      <c r="AG47">
        <v>128.62</v>
      </c>
      <c r="AH47">
        <v>11.83</v>
      </c>
      <c r="AI47">
        <v>11.83</v>
      </c>
      <c r="AJ47">
        <v>10.29</v>
      </c>
      <c r="AK47">
        <v>0.82</v>
      </c>
      <c r="AL47">
        <v>0.82</v>
      </c>
      <c r="AM47">
        <v>0.15</v>
      </c>
      <c r="AN47">
        <v>0.01</v>
      </c>
      <c r="AO47" s="30">
        <v>0.16</v>
      </c>
      <c r="AP47">
        <v>128.09</v>
      </c>
      <c r="AQ47" s="12">
        <v>141369300000</v>
      </c>
      <c r="AR47" s="12">
        <v>182762779900</v>
      </c>
      <c r="AS47" s="24" t="str">
        <f>HYPERLINK("https://github.com/lottpicker/daily1689/blob/main/summary-v13.txt", "Click view")</f>
        <v>Click view</v>
      </c>
    </row>
    <row r="48" spans="1:45" x14ac:dyDescent="0.35">
      <c r="A48">
        <v>27</v>
      </c>
      <c r="B48" t="s">
        <v>39</v>
      </c>
      <c r="C48" t="s">
        <v>40</v>
      </c>
      <c r="D48" s="31">
        <v>134.13999999999999</v>
      </c>
      <c r="E48" s="12">
        <v>48261703300</v>
      </c>
      <c r="F48">
        <v>40740</v>
      </c>
      <c r="G48">
        <v>3322</v>
      </c>
      <c r="H48" t="s">
        <v>47</v>
      </c>
      <c r="I48" s="33">
        <v>33.700000000000003</v>
      </c>
      <c r="J48" t="s">
        <v>104</v>
      </c>
      <c r="K48" s="33">
        <v>62.96</v>
      </c>
      <c r="L48" t="s">
        <v>83</v>
      </c>
      <c r="M48" s="31">
        <v>33.33</v>
      </c>
      <c r="N48" t="s">
        <v>83</v>
      </c>
      <c r="O48">
        <v>33.33</v>
      </c>
      <c r="P48" t="s">
        <v>95</v>
      </c>
      <c r="Q48" s="34">
        <v>20</v>
      </c>
      <c r="R48"/>
      <c r="S48"/>
      <c r="T48" t="s">
        <v>45</v>
      </c>
      <c r="U48" s="14">
        <v>100</v>
      </c>
      <c r="V48" t="s">
        <v>45</v>
      </c>
      <c r="W48" s="13">
        <v>100</v>
      </c>
      <c r="X48">
        <v>34772</v>
      </c>
      <c r="Y48">
        <v>3112</v>
      </c>
      <c r="Z48">
        <v>37884</v>
      </c>
      <c r="AA48">
        <v>2392</v>
      </c>
      <c r="AB48">
        <v>209</v>
      </c>
      <c r="AC48">
        <v>2805</v>
      </c>
      <c r="AD48">
        <v>50</v>
      </c>
      <c r="AE48">
        <v>1</v>
      </c>
      <c r="AF48" s="13">
        <v>51</v>
      </c>
      <c r="AG48">
        <v>128.79</v>
      </c>
      <c r="AH48">
        <v>11.53</v>
      </c>
      <c r="AI48">
        <v>11.53</v>
      </c>
      <c r="AJ48">
        <v>10.39</v>
      </c>
      <c r="AK48">
        <v>0.77</v>
      </c>
      <c r="AL48">
        <v>0.77</v>
      </c>
      <c r="AM48">
        <v>0.19</v>
      </c>
      <c r="AN48">
        <v>0</v>
      </c>
      <c r="AO48">
        <v>0.19</v>
      </c>
      <c r="AP48">
        <v>128.44</v>
      </c>
      <c r="AQ48" s="12">
        <v>141369300000</v>
      </c>
      <c r="AR48" s="12">
        <v>189631003300</v>
      </c>
      <c r="AS48" s="24" t="str">
        <f>HYPERLINK("https://github.com/lottpicker/daily1689/blob/main/summary-v27.txt", "Click view")</f>
        <v>Click view</v>
      </c>
    </row>
    <row r="49" spans="1:45" x14ac:dyDescent="0.35">
      <c r="A49">
        <v>63</v>
      </c>
      <c r="B49" t="s">
        <v>39</v>
      </c>
      <c r="C49" t="s">
        <v>40</v>
      </c>
      <c r="D49" s="30">
        <v>135.85</v>
      </c>
      <c r="E49" s="12">
        <v>50677656300</v>
      </c>
      <c r="F49">
        <v>40738</v>
      </c>
      <c r="G49">
        <v>3323</v>
      </c>
      <c r="H49" t="s">
        <v>92</v>
      </c>
      <c r="I49" s="30">
        <v>34.44</v>
      </c>
      <c r="J49" t="s">
        <v>94</v>
      </c>
      <c r="K49" s="30">
        <v>62.59</v>
      </c>
      <c r="L49" t="s">
        <v>83</v>
      </c>
      <c r="M49" s="30">
        <v>33.33</v>
      </c>
      <c r="N49" t="s">
        <v>83</v>
      </c>
      <c r="O49" s="30">
        <v>33.33</v>
      </c>
      <c r="P49" t="s">
        <v>95</v>
      </c>
      <c r="Q49" s="30">
        <v>20</v>
      </c>
      <c r="R49"/>
      <c r="S49"/>
      <c r="T49" t="s">
        <v>51</v>
      </c>
      <c r="U49" s="30">
        <v>96.3</v>
      </c>
      <c r="V49" t="s">
        <v>72</v>
      </c>
      <c r="W49" s="30">
        <v>88.89</v>
      </c>
      <c r="X49">
        <v>34784</v>
      </c>
      <c r="Y49">
        <v>3100</v>
      </c>
      <c r="Z49">
        <v>37884</v>
      </c>
      <c r="AA49">
        <v>2377</v>
      </c>
      <c r="AB49">
        <v>217</v>
      </c>
      <c r="AC49">
        <v>2802</v>
      </c>
      <c r="AD49">
        <v>46</v>
      </c>
      <c r="AE49">
        <v>6</v>
      </c>
      <c r="AF49" s="30">
        <v>52</v>
      </c>
      <c r="AG49">
        <v>128.83000000000001</v>
      </c>
      <c r="AH49">
        <v>11.48</v>
      </c>
      <c r="AI49">
        <v>11.48</v>
      </c>
      <c r="AJ49">
        <v>10.38</v>
      </c>
      <c r="AK49">
        <v>0.8</v>
      </c>
      <c r="AL49">
        <v>0.8</v>
      </c>
      <c r="AM49">
        <v>0.17</v>
      </c>
      <c r="AN49">
        <v>0.02</v>
      </c>
      <c r="AO49" s="30">
        <v>0.19</v>
      </c>
      <c r="AP49">
        <v>128.44</v>
      </c>
      <c r="AQ49" s="12">
        <v>141369300000</v>
      </c>
      <c r="AR49" s="12">
        <v>192046956300</v>
      </c>
      <c r="AS49" s="30" t="str">
        <f>HYPERLINK("https://github.com/lottpicker/daily1689/blob/main/summary-v63.txt", "Click view")</f>
        <v>Click view</v>
      </c>
    </row>
    <row r="50" spans="1:45" x14ac:dyDescent="0.35">
      <c r="A50">
        <v>37</v>
      </c>
      <c r="B50" t="s">
        <v>39</v>
      </c>
      <c r="C50" t="s">
        <v>40</v>
      </c>
      <c r="D50" s="31">
        <v>124.87</v>
      </c>
      <c r="E50" s="12">
        <v>35183862900</v>
      </c>
      <c r="F50">
        <v>40718</v>
      </c>
      <c r="G50">
        <v>3381</v>
      </c>
      <c r="H50" t="s">
        <v>80</v>
      </c>
      <c r="I50" s="33">
        <v>37.04</v>
      </c>
      <c r="J50" t="s">
        <v>94</v>
      </c>
      <c r="K50" s="33">
        <v>62.59</v>
      </c>
      <c r="L50" t="s">
        <v>97</v>
      </c>
      <c r="M50" s="31">
        <v>32.96</v>
      </c>
      <c r="N50" t="s">
        <v>97</v>
      </c>
      <c r="O50">
        <v>32.96</v>
      </c>
      <c r="P50" t="s">
        <v>124</v>
      </c>
      <c r="Q50" s="37">
        <v>15.56</v>
      </c>
      <c r="R50"/>
      <c r="S50"/>
      <c r="T50" t="s">
        <v>72</v>
      </c>
      <c r="U50" s="30">
        <v>88.89</v>
      </c>
      <c r="V50" t="s">
        <v>107</v>
      </c>
      <c r="W50" s="30">
        <v>77.78</v>
      </c>
      <c r="X50">
        <v>34731</v>
      </c>
      <c r="Y50">
        <v>3161</v>
      </c>
      <c r="Z50">
        <v>37892</v>
      </c>
      <c r="AA50">
        <v>2411</v>
      </c>
      <c r="AB50">
        <v>215</v>
      </c>
      <c r="AC50">
        <v>2786</v>
      </c>
      <c r="AD50">
        <v>35</v>
      </c>
      <c r="AE50">
        <v>5</v>
      </c>
      <c r="AF50" s="30">
        <v>40</v>
      </c>
      <c r="AG50">
        <v>128.63</v>
      </c>
      <c r="AH50">
        <v>11.71</v>
      </c>
      <c r="AI50">
        <v>11.71</v>
      </c>
      <c r="AJ50">
        <v>10.32</v>
      </c>
      <c r="AK50">
        <v>0.8</v>
      </c>
      <c r="AL50">
        <v>0.8</v>
      </c>
      <c r="AM50">
        <v>0.13</v>
      </c>
      <c r="AN50">
        <v>0.02</v>
      </c>
      <c r="AO50" s="30">
        <v>0.15</v>
      </c>
      <c r="AP50">
        <v>128.30000000000001</v>
      </c>
      <c r="AQ50" s="12">
        <v>141453000000</v>
      </c>
      <c r="AR50" s="12">
        <v>176636862900</v>
      </c>
      <c r="AS50" s="24" t="str">
        <f>HYPERLINK("https://github.com/lottpicker/daily1689/blob/main/summary-v37.txt", "Click view")</f>
        <v>Click view</v>
      </c>
    </row>
    <row r="51" spans="1:45" x14ac:dyDescent="0.35">
      <c r="A51">
        <v>28</v>
      </c>
      <c r="B51" t="s">
        <v>39</v>
      </c>
      <c r="C51" t="s">
        <v>40</v>
      </c>
      <c r="D51" s="31">
        <v>129.31</v>
      </c>
      <c r="E51" s="12">
        <v>41428724000</v>
      </c>
      <c r="F51">
        <v>40733</v>
      </c>
      <c r="G51">
        <v>3334</v>
      </c>
      <c r="H51" t="s">
        <v>92</v>
      </c>
      <c r="I51" s="33">
        <v>34.44</v>
      </c>
      <c r="J51" t="s">
        <v>118</v>
      </c>
      <c r="K51" s="33">
        <v>62.22</v>
      </c>
      <c r="L51" t="s">
        <v>74</v>
      </c>
      <c r="M51" s="31">
        <v>31.11</v>
      </c>
      <c r="N51" t="s">
        <v>74</v>
      </c>
      <c r="O51">
        <v>31.11</v>
      </c>
      <c r="P51" t="s">
        <v>114</v>
      </c>
      <c r="Q51" s="37">
        <v>18.149999999999999</v>
      </c>
      <c r="R51"/>
      <c r="S51"/>
      <c r="T51" t="s">
        <v>51</v>
      </c>
      <c r="U51" s="14">
        <v>96.3</v>
      </c>
      <c r="V51" t="s">
        <v>72</v>
      </c>
      <c r="W51">
        <v>88.89</v>
      </c>
      <c r="X51">
        <v>34756</v>
      </c>
      <c r="Y51">
        <v>3134</v>
      </c>
      <c r="Z51">
        <v>37890</v>
      </c>
      <c r="AA51">
        <v>2410</v>
      </c>
      <c r="AB51">
        <v>198</v>
      </c>
      <c r="AC51">
        <v>2796</v>
      </c>
      <c r="AD51">
        <v>45</v>
      </c>
      <c r="AE51">
        <v>2</v>
      </c>
      <c r="AF51" s="30">
        <v>47</v>
      </c>
      <c r="AG51">
        <v>128.72999999999999</v>
      </c>
      <c r="AH51">
        <v>11.61</v>
      </c>
      <c r="AI51">
        <v>11.61</v>
      </c>
      <c r="AJ51">
        <v>10.36</v>
      </c>
      <c r="AK51">
        <v>0.73</v>
      </c>
      <c r="AL51">
        <v>0.73</v>
      </c>
      <c r="AM51">
        <v>0.17</v>
      </c>
      <c r="AN51">
        <v>0.01</v>
      </c>
      <c r="AO51" s="30">
        <v>0.17</v>
      </c>
      <c r="AP51">
        <v>128.4</v>
      </c>
      <c r="AQ51" s="12">
        <v>141369300000</v>
      </c>
      <c r="AR51" s="12">
        <v>182798024000</v>
      </c>
      <c r="AS51" s="24" t="str">
        <f>HYPERLINK("https://github.com/lottpicker/daily1689/blob/main/summary-v28.txt", "Click view")</f>
        <v>Click view</v>
      </c>
    </row>
    <row r="52" spans="1:45" x14ac:dyDescent="0.35">
      <c r="A52">
        <v>11</v>
      </c>
      <c r="B52" t="s">
        <v>39</v>
      </c>
      <c r="C52" t="s">
        <v>40</v>
      </c>
      <c r="D52" s="31">
        <v>117.62</v>
      </c>
      <c r="E52" s="12">
        <v>24906867400</v>
      </c>
      <c r="F52">
        <v>40645</v>
      </c>
      <c r="G52">
        <v>3337</v>
      </c>
      <c r="H52" t="s">
        <v>80</v>
      </c>
      <c r="I52" s="33">
        <v>37.04</v>
      </c>
      <c r="J52" t="s">
        <v>118</v>
      </c>
      <c r="K52" s="33">
        <v>62.22</v>
      </c>
      <c r="L52" t="s">
        <v>50</v>
      </c>
      <c r="M52" s="31">
        <v>26.67</v>
      </c>
      <c r="N52" t="s">
        <v>50</v>
      </c>
      <c r="O52">
        <v>26.67</v>
      </c>
      <c r="P52" t="s">
        <v>131</v>
      </c>
      <c r="Q52" s="37">
        <v>12.96</v>
      </c>
      <c r="R52"/>
      <c r="S52"/>
      <c r="T52" t="s">
        <v>72</v>
      </c>
      <c r="U52" s="30">
        <v>88.89</v>
      </c>
      <c r="V52" t="s">
        <v>107</v>
      </c>
      <c r="W52" s="30">
        <v>77.78</v>
      </c>
      <c r="X52">
        <v>34677</v>
      </c>
      <c r="Y52">
        <v>3139</v>
      </c>
      <c r="Z52">
        <v>37816</v>
      </c>
      <c r="AA52">
        <v>2461</v>
      </c>
      <c r="AB52">
        <v>198</v>
      </c>
      <c r="AC52">
        <v>2795</v>
      </c>
      <c r="AD52">
        <v>34</v>
      </c>
      <c r="AE52" s="30">
        <v>0</v>
      </c>
      <c r="AF52" s="30">
        <v>34</v>
      </c>
      <c r="AG52">
        <v>128.43</v>
      </c>
      <c r="AH52">
        <v>11.63</v>
      </c>
      <c r="AI52">
        <v>11.63</v>
      </c>
      <c r="AJ52">
        <v>10.35</v>
      </c>
      <c r="AK52">
        <v>0.73</v>
      </c>
      <c r="AL52">
        <v>0.73</v>
      </c>
      <c r="AM52">
        <v>0.13</v>
      </c>
      <c r="AN52">
        <v>0</v>
      </c>
      <c r="AO52">
        <v>0.13</v>
      </c>
      <c r="AP52">
        <v>128.38999999999999</v>
      </c>
      <c r="AQ52" s="12">
        <v>141369300000</v>
      </c>
      <c r="AR52" s="12">
        <v>166276167400</v>
      </c>
      <c r="AS52" s="24" t="str">
        <f>HYPERLINK("https://github.com/lottpicker/daily1689/blob/main/summary-v11.txt", "Click view")</f>
        <v>Click view</v>
      </c>
    </row>
    <row r="53" spans="1:45" x14ac:dyDescent="0.35">
      <c r="A53">
        <v>68</v>
      </c>
      <c r="B53" t="s">
        <v>39</v>
      </c>
      <c r="C53" t="s">
        <v>40</v>
      </c>
      <c r="D53" s="30">
        <v>130.88999999999999</v>
      </c>
      <c r="E53" s="12">
        <v>43667442000</v>
      </c>
      <c r="F53">
        <v>40728</v>
      </c>
      <c r="G53">
        <v>3352</v>
      </c>
      <c r="H53" t="s">
        <v>80</v>
      </c>
      <c r="I53" s="30">
        <v>37.04</v>
      </c>
      <c r="J53" t="s">
        <v>113</v>
      </c>
      <c r="K53" s="30">
        <v>61.85</v>
      </c>
      <c r="L53" t="s">
        <v>68</v>
      </c>
      <c r="M53" s="30">
        <v>35.19</v>
      </c>
      <c r="N53" t="s">
        <v>68</v>
      </c>
      <c r="O53">
        <v>35.19</v>
      </c>
      <c r="P53" t="s">
        <v>114</v>
      </c>
      <c r="Q53" s="30">
        <v>18.149999999999999</v>
      </c>
      <c r="R53"/>
      <c r="S53"/>
      <c r="T53" t="s">
        <v>46</v>
      </c>
      <c r="U53" s="30">
        <v>92.59</v>
      </c>
      <c r="V53" t="s">
        <v>88</v>
      </c>
      <c r="W53" s="30">
        <v>85.19</v>
      </c>
      <c r="X53">
        <v>34748</v>
      </c>
      <c r="Y53">
        <v>3138</v>
      </c>
      <c r="Z53">
        <v>37886</v>
      </c>
      <c r="AA53">
        <v>2395</v>
      </c>
      <c r="AB53">
        <v>212</v>
      </c>
      <c r="AC53">
        <v>2795</v>
      </c>
      <c r="AD53">
        <v>45</v>
      </c>
      <c r="AE53" s="30">
        <v>2</v>
      </c>
      <c r="AF53" s="30">
        <v>47</v>
      </c>
      <c r="AG53">
        <v>128.69999999999999</v>
      </c>
      <c r="AH53">
        <v>11.62</v>
      </c>
      <c r="AI53">
        <v>11.62</v>
      </c>
      <c r="AJ53">
        <v>10.35</v>
      </c>
      <c r="AK53">
        <v>0.79</v>
      </c>
      <c r="AL53">
        <v>0.79</v>
      </c>
      <c r="AM53">
        <v>0.17</v>
      </c>
      <c r="AN53">
        <v>0.01</v>
      </c>
      <c r="AO53">
        <v>0.17</v>
      </c>
      <c r="AP53">
        <v>128.31</v>
      </c>
      <c r="AQ53" s="12">
        <v>141369300000</v>
      </c>
      <c r="AR53" s="12">
        <v>185036742000</v>
      </c>
      <c r="AS53" s="30" t="str">
        <f>HYPERLINK("https://github.com/lottpicker/daily1689/blob/main/summary-v68.txt", "Click view")</f>
        <v>Click view</v>
      </c>
    </row>
    <row r="54" spans="1:45" x14ac:dyDescent="0.35">
      <c r="A54" s="30">
        <v>65</v>
      </c>
      <c r="B54" t="s">
        <v>39</v>
      </c>
      <c r="C54" t="s">
        <v>40</v>
      </c>
      <c r="D54" s="30">
        <v>134.96</v>
      </c>
      <c r="E54" s="12">
        <v>49416602200</v>
      </c>
      <c r="F54">
        <v>40738</v>
      </c>
      <c r="G54" s="30">
        <v>3394</v>
      </c>
      <c r="H54" t="s">
        <v>87</v>
      </c>
      <c r="I54" s="30">
        <v>36.299999999999997</v>
      </c>
      <c r="J54" t="s">
        <v>98</v>
      </c>
      <c r="K54" s="30">
        <v>61.48</v>
      </c>
      <c r="L54" t="s">
        <v>99</v>
      </c>
      <c r="M54" s="30">
        <v>37.78</v>
      </c>
      <c r="N54" t="s">
        <v>99</v>
      </c>
      <c r="O54" s="30">
        <v>37.78</v>
      </c>
      <c r="P54" t="s">
        <v>66</v>
      </c>
      <c r="Q54" s="30">
        <v>20.37</v>
      </c>
      <c r="R54"/>
      <c r="S54"/>
      <c r="T54" t="s">
        <v>46</v>
      </c>
      <c r="U54" s="30">
        <v>92.59</v>
      </c>
      <c r="V54" t="s">
        <v>72</v>
      </c>
      <c r="W54" s="30">
        <v>88.89</v>
      </c>
      <c r="X54">
        <v>34700</v>
      </c>
      <c r="Y54">
        <v>3184</v>
      </c>
      <c r="Z54">
        <v>37884</v>
      </c>
      <c r="AA54">
        <v>2388</v>
      </c>
      <c r="AB54">
        <v>206</v>
      </c>
      <c r="AC54">
        <v>2802</v>
      </c>
      <c r="AD54">
        <v>48</v>
      </c>
      <c r="AE54">
        <v>4</v>
      </c>
      <c r="AF54" s="30">
        <v>52</v>
      </c>
      <c r="AG54">
        <v>128.52000000000001</v>
      </c>
      <c r="AH54">
        <v>11.79</v>
      </c>
      <c r="AI54">
        <v>11.79</v>
      </c>
      <c r="AJ54">
        <v>10.38</v>
      </c>
      <c r="AK54">
        <v>0.76</v>
      </c>
      <c r="AL54">
        <v>0.76</v>
      </c>
      <c r="AM54">
        <v>0.18</v>
      </c>
      <c r="AN54">
        <v>0.01</v>
      </c>
      <c r="AO54" s="30">
        <v>0.19</v>
      </c>
      <c r="AP54" s="30">
        <v>128.18</v>
      </c>
      <c r="AQ54" s="12">
        <v>141369300000</v>
      </c>
      <c r="AR54" s="12">
        <v>190785902200</v>
      </c>
      <c r="AS54" s="30" t="str">
        <f>HYPERLINK("https://github.com/lottpicker/daily1689/blob/main/summary-v65.txt", "Click view")</f>
        <v>Click view</v>
      </c>
    </row>
    <row r="55" spans="1:45" x14ac:dyDescent="0.35">
      <c r="A55" s="30">
        <v>26</v>
      </c>
      <c r="B55" t="s">
        <v>39</v>
      </c>
      <c r="C55" t="s">
        <v>40</v>
      </c>
      <c r="D55" s="31">
        <v>133.04</v>
      </c>
      <c r="E55" s="12">
        <v>46705171100</v>
      </c>
      <c r="F55">
        <v>40727</v>
      </c>
      <c r="G55" s="30">
        <v>3298</v>
      </c>
      <c r="H55" t="s">
        <v>68</v>
      </c>
      <c r="I55" s="33">
        <v>35.19</v>
      </c>
      <c r="J55" t="s">
        <v>98</v>
      </c>
      <c r="K55" s="33">
        <v>61.48</v>
      </c>
      <c r="L55" t="s">
        <v>105</v>
      </c>
      <c r="M55" s="36">
        <v>34.81</v>
      </c>
      <c r="N55" t="s">
        <v>105</v>
      </c>
      <c r="O55" s="30">
        <v>34.81</v>
      </c>
      <c r="P55" t="s">
        <v>90</v>
      </c>
      <c r="Q55" s="37">
        <v>19.63</v>
      </c>
      <c r="R55"/>
      <c r="S55"/>
      <c r="T55" t="s">
        <v>51</v>
      </c>
      <c r="U55" s="14">
        <v>96.3</v>
      </c>
      <c r="V55" t="s">
        <v>88</v>
      </c>
      <c r="W55" s="30">
        <v>85.19</v>
      </c>
      <c r="X55">
        <v>34807</v>
      </c>
      <c r="Y55">
        <v>3071</v>
      </c>
      <c r="Z55">
        <v>37878</v>
      </c>
      <c r="AA55">
        <v>2384</v>
      </c>
      <c r="AB55">
        <v>225</v>
      </c>
      <c r="AC55">
        <v>2801</v>
      </c>
      <c r="AD55">
        <v>46</v>
      </c>
      <c r="AE55">
        <v>2</v>
      </c>
      <c r="AF55" s="30">
        <v>48</v>
      </c>
      <c r="AG55">
        <v>128.91</v>
      </c>
      <c r="AH55">
        <v>11.37</v>
      </c>
      <c r="AI55">
        <v>11.37</v>
      </c>
      <c r="AJ55">
        <v>10.37</v>
      </c>
      <c r="AK55">
        <v>0.83</v>
      </c>
      <c r="AL55">
        <v>0.83</v>
      </c>
      <c r="AM55">
        <v>0.17</v>
      </c>
      <c r="AN55">
        <v>0.01</v>
      </c>
      <c r="AO55" s="30">
        <v>0.18</v>
      </c>
      <c r="AP55" s="30">
        <v>128.53</v>
      </c>
      <c r="AQ55" s="12">
        <v>141369300000</v>
      </c>
      <c r="AR55" s="12">
        <v>188074471100</v>
      </c>
      <c r="AS55" s="24" t="str">
        <f>HYPERLINK("https://github.com/lottpicker/daily1689/blob/main/summary-v26.txt", "Click view")</f>
        <v>Click view</v>
      </c>
    </row>
    <row r="56" spans="1:45" x14ac:dyDescent="0.35">
      <c r="A56" s="28">
        <v>58</v>
      </c>
      <c r="B56" t="s">
        <v>39</v>
      </c>
      <c r="C56" t="s">
        <v>40</v>
      </c>
      <c r="D56" s="22">
        <v>144.65</v>
      </c>
      <c r="E56" s="16">
        <v>63122855300</v>
      </c>
      <c r="F56">
        <v>40837</v>
      </c>
      <c r="G56">
        <v>3542</v>
      </c>
      <c r="H56" t="s">
        <v>47</v>
      </c>
      <c r="I56" s="30">
        <v>33.700000000000003</v>
      </c>
      <c r="J56" t="s">
        <v>48</v>
      </c>
      <c r="K56" s="30">
        <v>61.11</v>
      </c>
      <c r="L56" t="s">
        <v>49</v>
      </c>
      <c r="M56" s="13">
        <v>40.74</v>
      </c>
      <c r="N56" t="s">
        <v>49</v>
      </c>
      <c r="O56" s="13">
        <v>40.74</v>
      </c>
      <c r="P56" t="s">
        <v>50</v>
      </c>
      <c r="Q56" s="45">
        <v>26.67</v>
      </c>
      <c r="R56"/>
      <c r="S56"/>
      <c r="T56" t="s">
        <v>51</v>
      </c>
      <c r="U56" s="14">
        <v>96.3</v>
      </c>
      <c r="V56" t="s">
        <v>51</v>
      </c>
      <c r="W56" s="14">
        <v>96.3</v>
      </c>
      <c r="X56">
        <v>34675</v>
      </c>
      <c r="Y56">
        <v>3314</v>
      </c>
      <c r="Z56">
        <v>37989</v>
      </c>
      <c r="AA56">
        <v>2327</v>
      </c>
      <c r="AB56">
        <v>221</v>
      </c>
      <c r="AC56">
        <v>2788</v>
      </c>
      <c r="AD56">
        <v>53</v>
      </c>
      <c r="AE56">
        <v>7</v>
      </c>
      <c r="AF56" s="13">
        <v>60</v>
      </c>
      <c r="AG56">
        <v>128.43</v>
      </c>
      <c r="AH56">
        <v>12.27</v>
      </c>
      <c r="AI56">
        <v>12.27</v>
      </c>
      <c r="AJ56">
        <v>10.33</v>
      </c>
      <c r="AK56">
        <v>0.82</v>
      </c>
      <c r="AL56">
        <v>0.82</v>
      </c>
      <c r="AM56">
        <v>0.2</v>
      </c>
      <c r="AN56">
        <v>0.03</v>
      </c>
      <c r="AO56" s="13">
        <v>0.22</v>
      </c>
      <c r="AP56" s="13">
        <v>134.24</v>
      </c>
      <c r="AQ56" s="12">
        <v>141369300000</v>
      </c>
      <c r="AR56" s="16">
        <v>204492155300</v>
      </c>
      <c r="AS56" s="30" t="str">
        <f>HYPERLINK("https://github.com/lottpicker/daily1689/blob/main/summary-v58.txt", "Click view")</f>
        <v>Click view</v>
      </c>
    </row>
    <row r="57" spans="1:45" x14ac:dyDescent="0.35">
      <c r="A57">
        <v>52</v>
      </c>
      <c r="B57" t="s">
        <v>39</v>
      </c>
      <c r="C57" t="s">
        <v>40</v>
      </c>
      <c r="D57" s="31">
        <v>134.38</v>
      </c>
      <c r="E57" s="12">
        <v>48607784700</v>
      </c>
      <c r="F57">
        <v>40738</v>
      </c>
      <c r="G57">
        <v>3393</v>
      </c>
      <c r="H57" t="s">
        <v>41</v>
      </c>
      <c r="I57" s="33">
        <v>35.93</v>
      </c>
      <c r="J57" t="s">
        <v>48</v>
      </c>
      <c r="K57" s="33">
        <v>61.11</v>
      </c>
      <c r="L57" t="s">
        <v>97</v>
      </c>
      <c r="M57" s="31">
        <v>32.96</v>
      </c>
      <c r="N57" t="s">
        <v>97</v>
      </c>
      <c r="O57">
        <v>32.96</v>
      </c>
      <c r="P57" t="s">
        <v>78</v>
      </c>
      <c r="Q57" s="37">
        <v>19.260000000000002</v>
      </c>
      <c r="R57"/>
      <c r="S57"/>
      <c r="T57" t="s">
        <v>51</v>
      </c>
      <c r="U57" s="14">
        <v>96.3</v>
      </c>
      <c r="V57" t="s">
        <v>88</v>
      </c>
      <c r="W57" s="30">
        <v>85.19</v>
      </c>
      <c r="X57">
        <v>34700</v>
      </c>
      <c r="Y57">
        <v>3184</v>
      </c>
      <c r="Z57">
        <v>37884</v>
      </c>
      <c r="AA57">
        <v>2393</v>
      </c>
      <c r="AB57">
        <v>201</v>
      </c>
      <c r="AC57">
        <v>2802</v>
      </c>
      <c r="AD57">
        <v>44</v>
      </c>
      <c r="AE57" s="13">
        <v>8</v>
      </c>
      <c r="AF57" s="13">
        <v>52</v>
      </c>
      <c r="AG57">
        <v>128.52000000000001</v>
      </c>
      <c r="AH57">
        <v>11.79</v>
      </c>
      <c r="AI57">
        <v>11.79</v>
      </c>
      <c r="AJ57">
        <v>10.38</v>
      </c>
      <c r="AK57">
        <v>0.74</v>
      </c>
      <c r="AL57">
        <v>0.74</v>
      </c>
      <c r="AM57">
        <v>0.16</v>
      </c>
      <c r="AN57">
        <v>0.03</v>
      </c>
      <c r="AO57" s="30">
        <v>0.19</v>
      </c>
      <c r="AP57">
        <v>128.22</v>
      </c>
      <c r="AQ57" s="12">
        <v>141369300000</v>
      </c>
      <c r="AR57" s="12">
        <v>189977084700</v>
      </c>
      <c r="AS57" s="24" t="str">
        <f>HYPERLINK("https://github.com/lottpicker/daily1689/blob/main/summary-v52.txt", "Click view")</f>
        <v>Click view</v>
      </c>
    </row>
    <row r="58" spans="1:45" x14ac:dyDescent="0.35">
      <c r="A58">
        <v>19</v>
      </c>
      <c r="B58" t="s">
        <v>39</v>
      </c>
      <c r="C58" t="s">
        <v>40</v>
      </c>
      <c r="D58" s="31">
        <v>122.59</v>
      </c>
      <c r="E58" s="12">
        <v>31933342100</v>
      </c>
      <c r="F58">
        <v>40700</v>
      </c>
      <c r="G58">
        <v>3338</v>
      </c>
      <c r="H58" t="s">
        <v>89</v>
      </c>
      <c r="I58" s="33">
        <v>37.409999999999997</v>
      </c>
      <c r="J58" t="s">
        <v>128</v>
      </c>
      <c r="K58" s="33">
        <v>60.74</v>
      </c>
      <c r="L58" t="s">
        <v>91</v>
      </c>
      <c r="M58" s="31">
        <v>31.48</v>
      </c>
      <c r="N58" t="s">
        <v>91</v>
      </c>
      <c r="O58">
        <v>31.48</v>
      </c>
      <c r="P58" t="s">
        <v>126</v>
      </c>
      <c r="Q58" s="37">
        <v>15.19</v>
      </c>
      <c r="R58"/>
      <c r="S58"/>
      <c r="T58" t="s">
        <v>72</v>
      </c>
      <c r="U58" s="30">
        <v>88.89</v>
      </c>
      <c r="V58" t="s">
        <v>73</v>
      </c>
      <c r="W58" s="30">
        <v>81.48</v>
      </c>
      <c r="X58">
        <v>34741</v>
      </c>
      <c r="Y58">
        <v>3132</v>
      </c>
      <c r="Z58">
        <v>37873</v>
      </c>
      <c r="AA58">
        <v>2429</v>
      </c>
      <c r="AB58">
        <v>203</v>
      </c>
      <c r="AC58">
        <v>2788</v>
      </c>
      <c r="AD58">
        <v>36</v>
      </c>
      <c r="AE58">
        <v>3</v>
      </c>
      <c r="AF58">
        <v>39</v>
      </c>
      <c r="AG58">
        <v>128.66999999999999</v>
      </c>
      <c r="AH58">
        <v>11.6</v>
      </c>
      <c r="AI58">
        <v>11.6</v>
      </c>
      <c r="AJ58">
        <v>10.33</v>
      </c>
      <c r="AK58">
        <v>0.75</v>
      </c>
      <c r="AL58">
        <v>0.75</v>
      </c>
      <c r="AM58">
        <v>0.13</v>
      </c>
      <c r="AN58">
        <v>0.01</v>
      </c>
      <c r="AO58">
        <v>0.14000000000000001</v>
      </c>
      <c r="AP58">
        <v>128.38999999999999</v>
      </c>
      <c r="AQ58" s="12">
        <v>141369300000</v>
      </c>
      <c r="AR58" s="12">
        <v>173302642100</v>
      </c>
      <c r="AS58" s="24" t="str">
        <f>HYPERLINK("https://github.com/lottpicker/daily1689/blob/main/summary-v19.txt", "Click view")</f>
        <v>Click view</v>
      </c>
    </row>
    <row r="59" spans="1:45" x14ac:dyDescent="0.35">
      <c r="A59" s="30">
        <v>47</v>
      </c>
      <c r="B59" t="s">
        <v>39</v>
      </c>
      <c r="C59" t="s">
        <v>40</v>
      </c>
      <c r="D59" s="31">
        <v>134.65</v>
      </c>
      <c r="E59" s="12">
        <v>48981467300</v>
      </c>
      <c r="F59">
        <v>40780</v>
      </c>
      <c r="G59">
        <v>3318</v>
      </c>
      <c r="H59" t="s">
        <v>99</v>
      </c>
      <c r="I59" s="33">
        <v>37.78</v>
      </c>
      <c r="J59" t="s">
        <v>100</v>
      </c>
      <c r="K59" s="33">
        <v>60.37</v>
      </c>
      <c r="L59" t="s">
        <v>101</v>
      </c>
      <c r="M59" s="36">
        <v>35.56</v>
      </c>
      <c r="N59" t="s">
        <v>101</v>
      </c>
      <c r="O59">
        <v>35.56</v>
      </c>
      <c r="P59" t="s">
        <v>102</v>
      </c>
      <c r="Q59" s="34">
        <v>20.74</v>
      </c>
      <c r="R59"/>
      <c r="S59"/>
      <c r="T59" t="s">
        <v>46</v>
      </c>
      <c r="U59" s="15">
        <v>92.59</v>
      </c>
      <c r="V59" t="s">
        <v>73</v>
      </c>
      <c r="W59" s="30">
        <v>81.48</v>
      </c>
      <c r="X59">
        <v>34826</v>
      </c>
      <c r="Y59">
        <v>3113</v>
      </c>
      <c r="Z59">
        <v>37939</v>
      </c>
      <c r="AA59">
        <v>2377</v>
      </c>
      <c r="AB59">
        <v>199</v>
      </c>
      <c r="AC59">
        <v>2788</v>
      </c>
      <c r="AD59">
        <v>47</v>
      </c>
      <c r="AE59">
        <v>6</v>
      </c>
      <c r="AF59" s="13">
        <v>53</v>
      </c>
      <c r="AG59">
        <v>128.99</v>
      </c>
      <c r="AH59">
        <v>11.53</v>
      </c>
      <c r="AI59">
        <v>11.53</v>
      </c>
      <c r="AJ59">
        <v>10.33</v>
      </c>
      <c r="AK59">
        <v>0.74</v>
      </c>
      <c r="AL59">
        <v>0.74</v>
      </c>
      <c r="AM59">
        <v>0.17</v>
      </c>
      <c r="AN59">
        <v>0.02</v>
      </c>
      <c r="AO59" s="13">
        <v>0.2</v>
      </c>
      <c r="AP59">
        <v>128.44</v>
      </c>
      <c r="AQ59" s="12">
        <v>141369300000</v>
      </c>
      <c r="AR59" s="12">
        <v>190350767300</v>
      </c>
      <c r="AS59" s="24" t="str">
        <f>HYPERLINK("https://github.com/lottpicker/daily1689/blob/main/summary-v47.txt", "Click view")</f>
        <v>Click view</v>
      </c>
    </row>
    <row r="60" spans="1:45" x14ac:dyDescent="0.35">
      <c r="A60">
        <v>54</v>
      </c>
      <c r="B60" t="s">
        <v>39</v>
      </c>
      <c r="C60" t="s">
        <v>40</v>
      </c>
      <c r="D60" s="31">
        <v>133.11000000000001</v>
      </c>
      <c r="E60" s="12">
        <v>46813614000</v>
      </c>
      <c r="F60">
        <v>40738</v>
      </c>
      <c r="G60">
        <v>3257</v>
      </c>
      <c r="H60" t="s">
        <v>80</v>
      </c>
      <c r="I60" s="33">
        <v>37.04</v>
      </c>
      <c r="J60" t="s">
        <v>100</v>
      </c>
      <c r="K60" s="33">
        <v>60.37</v>
      </c>
      <c r="L60" t="s">
        <v>47</v>
      </c>
      <c r="M60" s="31">
        <v>33.700000000000003</v>
      </c>
      <c r="N60" t="s">
        <v>47</v>
      </c>
      <c r="O60">
        <v>33.700000000000003</v>
      </c>
      <c r="P60" t="s">
        <v>90</v>
      </c>
      <c r="Q60" s="37">
        <v>19.63</v>
      </c>
      <c r="R60"/>
      <c r="S60"/>
      <c r="T60" t="s">
        <v>46</v>
      </c>
      <c r="U60" s="15">
        <v>92.59</v>
      </c>
      <c r="V60" t="s">
        <v>46</v>
      </c>
      <c r="W60" s="26">
        <v>92.59</v>
      </c>
      <c r="X60">
        <v>34821</v>
      </c>
      <c r="Y60">
        <v>3063</v>
      </c>
      <c r="Z60">
        <v>37884</v>
      </c>
      <c r="AA60">
        <v>2400</v>
      </c>
      <c r="AB60">
        <v>194</v>
      </c>
      <c r="AC60">
        <v>2802</v>
      </c>
      <c r="AD60">
        <v>52</v>
      </c>
      <c r="AE60">
        <v>0</v>
      </c>
      <c r="AF60" s="13">
        <v>52</v>
      </c>
      <c r="AG60">
        <v>128.97</v>
      </c>
      <c r="AH60">
        <v>11.34</v>
      </c>
      <c r="AI60">
        <v>11.34</v>
      </c>
      <c r="AJ60">
        <v>10.38</v>
      </c>
      <c r="AK60">
        <v>0.72</v>
      </c>
      <c r="AL60">
        <v>0.72</v>
      </c>
      <c r="AM60">
        <v>0.19</v>
      </c>
      <c r="AN60">
        <v>0</v>
      </c>
      <c r="AO60">
        <v>0.19</v>
      </c>
      <c r="AP60">
        <v>128.68</v>
      </c>
      <c r="AQ60" s="12">
        <v>141369300000</v>
      </c>
      <c r="AR60" s="12">
        <v>188182914000</v>
      </c>
      <c r="AS60" s="24" t="str">
        <f>HYPERLINK("https://github.com/lottpicker/daily1689/blob/main/summary-v54.txt", "Click view")</f>
        <v>Click view</v>
      </c>
    </row>
    <row r="61" spans="1:45" x14ac:dyDescent="0.35">
      <c r="A61" s="28">
        <v>57</v>
      </c>
      <c r="B61" t="s">
        <v>39</v>
      </c>
      <c r="C61" t="s">
        <v>40</v>
      </c>
      <c r="D61" s="22">
        <v>147.69</v>
      </c>
      <c r="E61" s="16">
        <v>67423731200</v>
      </c>
      <c r="F61">
        <v>40837</v>
      </c>
      <c r="G61" s="13">
        <v>3698</v>
      </c>
      <c r="H61" t="s">
        <v>41</v>
      </c>
      <c r="I61" s="30">
        <v>35.93</v>
      </c>
      <c r="J61" t="s">
        <v>42</v>
      </c>
      <c r="K61" s="30">
        <v>58.15</v>
      </c>
      <c r="L61" t="s">
        <v>43</v>
      </c>
      <c r="M61" s="13">
        <v>41.11</v>
      </c>
      <c r="N61" t="s">
        <v>43</v>
      </c>
      <c r="O61" s="13">
        <v>41.11</v>
      </c>
      <c r="P61" t="s">
        <v>44</v>
      </c>
      <c r="Q61" s="13">
        <v>30.74</v>
      </c>
      <c r="R61"/>
      <c r="S61"/>
      <c r="T61" t="s">
        <v>45</v>
      </c>
      <c r="U61" s="13">
        <v>100</v>
      </c>
      <c r="V61" t="s">
        <v>46</v>
      </c>
      <c r="W61" s="14">
        <v>92.59</v>
      </c>
      <c r="X61">
        <v>34535</v>
      </c>
      <c r="Y61">
        <v>3454</v>
      </c>
      <c r="Z61">
        <v>37989</v>
      </c>
      <c r="AA61">
        <v>2308</v>
      </c>
      <c r="AB61">
        <v>240</v>
      </c>
      <c r="AC61">
        <v>2788</v>
      </c>
      <c r="AD61">
        <v>56</v>
      </c>
      <c r="AE61">
        <v>4</v>
      </c>
      <c r="AF61" s="13">
        <v>60</v>
      </c>
      <c r="AG61">
        <v>127.91</v>
      </c>
      <c r="AH61">
        <v>12.79</v>
      </c>
      <c r="AI61">
        <v>12.79</v>
      </c>
      <c r="AJ61">
        <v>10.33</v>
      </c>
      <c r="AK61">
        <v>0.89</v>
      </c>
      <c r="AL61">
        <v>0.89</v>
      </c>
      <c r="AM61">
        <v>0.21</v>
      </c>
      <c r="AN61">
        <v>0.01</v>
      </c>
      <c r="AO61" s="13">
        <v>0.22</v>
      </c>
      <c r="AP61" s="13">
        <v>139</v>
      </c>
      <c r="AQ61" s="12">
        <v>141369300000</v>
      </c>
      <c r="AR61" s="16">
        <v>208793031200</v>
      </c>
      <c r="AS61" s="30" t="str">
        <f>HYPERLINK("https://github.com/lottpicker/daily1689/blob/main/summary-v57.txt", "Click view")</f>
        <v>Click view</v>
      </c>
    </row>
    <row r="62" spans="1:45" x14ac:dyDescent="0.35">
      <c r="A62" s="28">
        <v>67</v>
      </c>
      <c r="B62" s="30" t="s">
        <v>39</v>
      </c>
      <c r="C62" s="30" t="s">
        <v>40</v>
      </c>
      <c r="D62" s="13">
        <v>147.69</v>
      </c>
      <c r="E62" s="16">
        <v>67423731200</v>
      </c>
      <c r="F62" s="30">
        <v>40837</v>
      </c>
      <c r="G62" s="13">
        <v>3698</v>
      </c>
      <c r="H62" s="30" t="s">
        <v>41</v>
      </c>
      <c r="I62" s="30">
        <v>35.93</v>
      </c>
      <c r="J62" s="30" t="s">
        <v>42</v>
      </c>
      <c r="K62" s="30">
        <v>58.15</v>
      </c>
      <c r="L62" s="30" t="s">
        <v>43</v>
      </c>
      <c r="M62" s="13">
        <v>41.11</v>
      </c>
      <c r="N62" s="30" t="s">
        <v>43</v>
      </c>
      <c r="O62" s="13">
        <v>41.11</v>
      </c>
      <c r="P62" s="30" t="s">
        <v>44</v>
      </c>
      <c r="Q62" s="13">
        <v>30.74</v>
      </c>
      <c r="R62"/>
      <c r="S62"/>
      <c r="T62" s="30" t="s">
        <v>45</v>
      </c>
      <c r="U62" s="13">
        <v>100</v>
      </c>
      <c r="V62" s="30" t="s">
        <v>46</v>
      </c>
      <c r="W62" s="30">
        <v>92.59</v>
      </c>
      <c r="X62" s="30">
        <v>34535</v>
      </c>
      <c r="Y62" s="30">
        <v>3454</v>
      </c>
      <c r="Z62" s="30">
        <v>37989</v>
      </c>
      <c r="AA62" s="30">
        <v>2308</v>
      </c>
      <c r="AB62" s="30">
        <v>240</v>
      </c>
      <c r="AC62" s="30">
        <v>2788</v>
      </c>
      <c r="AD62" s="30">
        <v>56</v>
      </c>
      <c r="AE62" s="30">
        <v>4</v>
      </c>
      <c r="AF62" s="13">
        <v>60</v>
      </c>
      <c r="AG62" s="30">
        <v>127.91</v>
      </c>
      <c r="AH62" s="30">
        <v>12.79</v>
      </c>
      <c r="AI62" s="30">
        <v>12.79</v>
      </c>
      <c r="AJ62" s="30">
        <v>10.33</v>
      </c>
      <c r="AK62" s="30">
        <v>0.89</v>
      </c>
      <c r="AL62" s="30">
        <v>0.89</v>
      </c>
      <c r="AM62" s="30">
        <v>0.21</v>
      </c>
      <c r="AN62" s="30">
        <v>0.01</v>
      </c>
      <c r="AO62" s="13">
        <v>0.22</v>
      </c>
      <c r="AP62" s="13">
        <v>139</v>
      </c>
      <c r="AQ62" s="12">
        <v>141369300000</v>
      </c>
      <c r="AR62" s="16">
        <v>208793031200</v>
      </c>
      <c r="AS62" s="30" t="str">
        <f>HYPERLINK("https://github.com/lottpicker/daily1689/blob/main/summary-v67.txt", "Click view")</f>
        <v>Click view</v>
      </c>
    </row>
    <row r="63" spans="1:45" x14ac:dyDescent="0.35">
      <c r="A63">
        <v>21</v>
      </c>
      <c r="B63" t="s">
        <v>39</v>
      </c>
      <c r="C63" t="s">
        <v>40</v>
      </c>
      <c r="D63" s="31">
        <v>119.58</v>
      </c>
      <c r="E63" s="12">
        <v>27678827000</v>
      </c>
      <c r="F63">
        <v>40686</v>
      </c>
      <c r="G63">
        <v>3412</v>
      </c>
      <c r="H63" t="s">
        <v>129</v>
      </c>
      <c r="I63" s="33">
        <v>41.48</v>
      </c>
      <c r="J63" t="s">
        <v>42</v>
      </c>
      <c r="K63" s="33">
        <v>58.15</v>
      </c>
      <c r="L63" t="s">
        <v>120</v>
      </c>
      <c r="M63" s="31">
        <v>29.26</v>
      </c>
      <c r="N63" t="s">
        <v>120</v>
      </c>
      <c r="O63">
        <v>29.26</v>
      </c>
      <c r="P63" t="s">
        <v>127</v>
      </c>
      <c r="Q63" s="37">
        <v>14.07</v>
      </c>
      <c r="R63"/>
      <c r="S63"/>
      <c r="T63" t="s">
        <v>73</v>
      </c>
      <c r="U63">
        <v>81.48</v>
      </c>
      <c r="V63" t="s">
        <v>130</v>
      </c>
      <c r="W63">
        <v>66.67</v>
      </c>
      <c r="X63">
        <v>34659</v>
      </c>
      <c r="Y63">
        <v>3209</v>
      </c>
      <c r="Z63">
        <v>37868</v>
      </c>
      <c r="AA63">
        <v>2440</v>
      </c>
      <c r="AB63">
        <v>198</v>
      </c>
      <c r="AC63">
        <v>2782</v>
      </c>
      <c r="AD63">
        <v>31</v>
      </c>
      <c r="AE63">
        <v>5</v>
      </c>
      <c r="AF63" s="30">
        <v>36</v>
      </c>
      <c r="AG63">
        <v>128.37</v>
      </c>
      <c r="AH63">
        <v>11.89</v>
      </c>
      <c r="AI63">
        <v>11.89</v>
      </c>
      <c r="AJ63">
        <v>10.3</v>
      </c>
      <c r="AK63">
        <v>0.73</v>
      </c>
      <c r="AL63">
        <v>0.73</v>
      </c>
      <c r="AM63">
        <v>0.11</v>
      </c>
      <c r="AN63">
        <v>0.02</v>
      </c>
      <c r="AO63">
        <v>0.13</v>
      </c>
      <c r="AP63">
        <v>128.11000000000001</v>
      </c>
      <c r="AQ63" s="12">
        <v>141369300000</v>
      </c>
      <c r="AR63" s="12">
        <v>169048127000</v>
      </c>
      <c r="AS63" s="24" t="str">
        <f>HYPERLINK("https://github.com/lottpicker/daily1689/blob/main/summary-v21.txt", "Click view")</f>
        <v>Click view</v>
      </c>
    </row>
    <row r="64" spans="1:45" x14ac:dyDescent="0.35">
      <c r="A64">
        <v>69</v>
      </c>
      <c r="B64"/>
      <c r="C64"/>
      <c r="D64"/>
      <c r="F64"/>
      <c r="G64"/>
      <c r="H64"/>
      <c r="I64"/>
      <c r="J64"/>
      <c r="K64"/>
      <c r="L64"/>
      <c r="M64"/>
      <c r="N64"/>
      <c r="O64"/>
      <c r="P64"/>
      <c r="Q64"/>
      <c r="T64"/>
      <c r="V64"/>
      <c r="W64"/>
      <c r="X64"/>
      <c r="Y64"/>
      <c r="Z64"/>
      <c r="AA64"/>
      <c r="AB64"/>
      <c r="AD64"/>
      <c r="AE64"/>
      <c r="AF64"/>
      <c r="AG64"/>
      <c r="AH64"/>
      <c r="AI64"/>
      <c r="AJ64"/>
      <c r="AK64"/>
      <c r="AL64"/>
      <c r="AM64"/>
      <c r="AN64"/>
      <c r="AO64"/>
      <c r="AP64"/>
      <c r="AS64"/>
    </row>
    <row r="65" spans="1:1" x14ac:dyDescent="0.35">
      <c r="A65">
        <v>72</v>
      </c>
    </row>
    <row r="66" spans="1:1" x14ac:dyDescent="0.35">
      <c r="A66">
        <v>73</v>
      </c>
    </row>
    <row r="67" spans="1:1" x14ac:dyDescent="0.35">
      <c r="A67">
        <v>74</v>
      </c>
    </row>
    <row r="68" spans="1:1" x14ac:dyDescent="0.35">
      <c r="A68">
        <v>75</v>
      </c>
    </row>
    <row r="69" spans="1:1" x14ac:dyDescent="0.35">
      <c r="A69">
        <v>76</v>
      </c>
    </row>
    <row r="70" spans="1:1" x14ac:dyDescent="0.35">
      <c r="A70">
        <v>77</v>
      </c>
    </row>
    <row r="71" spans="1:1" x14ac:dyDescent="0.35">
      <c r="A71">
        <v>78</v>
      </c>
    </row>
    <row r="72" spans="1:1" x14ac:dyDescent="0.35">
      <c r="A72">
        <v>79</v>
      </c>
    </row>
    <row r="73" spans="1:1" x14ac:dyDescent="0.35">
      <c r="A73">
        <v>80</v>
      </c>
    </row>
    <row r="74" spans="1:1" x14ac:dyDescent="0.35">
      <c r="A74">
        <v>81</v>
      </c>
    </row>
    <row r="75" spans="1:1" x14ac:dyDescent="0.35">
      <c r="A75">
        <v>82</v>
      </c>
    </row>
    <row r="76" spans="1:1" x14ac:dyDescent="0.35">
      <c r="A76">
        <v>83</v>
      </c>
    </row>
    <row r="77" spans="1:1" x14ac:dyDescent="0.35">
      <c r="A77">
        <v>84</v>
      </c>
    </row>
    <row r="78" spans="1:1" x14ac:dyDescent="0.35">
      <c r="A78">
        <v>85</v>
      </c>
    </row>
    <row r="79" spans="1:1" x14ac:dyDescent="0.35">
      <c r="A79">
        <v>86</v>
      </c>
    </row>
    <row r="80" spans="1:1" x14ac:dyDescent="0.35">
      <c r="A80">
        <v>87</v>
      </c>
    </row>
    <row r="81" spans="1:1" x14ac:dyDescent="0.35">
      <c r="A81">
        <v>88</v>
      </c>
    </row>
    <row r="82" spans="1:1" x14ac:dyDescent="0.35">
      <c r="A82">
        <v>89</v>
      </c>
    </row>
    <row r="83" spans="1:1" x14ac:dyDescent="0.35">
      <c r="A83">
        <v>90</v>
      </c>
    </row>
    <row r="84" spans="1:1" x14ac:dyDescent="0.35">
      <c r="A84">
        <v>91</v>
      </c>
    </row>
    <row r="85" spans="1:1" x14ac:dyDescent="0.35">
      <c r="A85">
        <v>92</v>
      </c>
    </row>
    <row r="86" spans="1:1" x14ac:dyDescent="0.35">
      <c r="A86">
        <v>93</v>
      </c>
    </row>
    <row r="87" spans="1:1" x14ac:dyDescent="0.35">
      <c r="A87">
        <v>94</v>
      </c>
    </row>
    <row r="88" spans="1:1" x14ac:dyDescent="0.35">
      <c r="A88">
        <v>95</v>
      </c>
    </row>
    <row r="89" spans="1:1" x14ac:dyDescent="0.35">
      <c r="A89">
        <v>96</v>
      </c>
    </row>
    <row r="90" spans="1:1" x14ac:dyDescent="0.35">
      <c r="A90">
        <v>97</v>
      </c>
    </row>
    <row r="91" spans="1:1" x14ac:dyDescent="0.35">
      <c r="A91">
        <v>98</v>
      </c>
    </row>
    <row r="92" spans="1:1" x14ac:dyDescent="0.35">
      <c r="A92">
        <v>99</v>
      </c>
    </row>
    <row r="93" spans="1:1" x14ac:dyDescent="0.35">
      <c r="A93">
        <v>100</v>
      </c>
    </row>
    <row r="94" spans="1:1" x14ac:dyDescent="0.35">
      <c r="A94">
        <v>101</v>
      </c>
    </row>
    <row r="95" spans="1:1" x14ac:dyDescent="0.35">
      <c r="A95">
        <v>102</v>
      </c>
    </row>
    <row r="96" spans="1:1" x14ac:dyDescent="0.35">
      <c r="A96">
        <v>103</v>
      </c>
    </row>
    <row r="97" spans="1:1" x14ac:dyDescent="0.35">
      <c r="A97">
        <v>104</v>
      </c>
    </row>
    <row r="98" spans="1:1" x14ac:dyDescent="0.35">
      <c r="A98">
        <v>105</v>
      </c>
    </row>
  </sheetData>
  <autoFilter ref="A2:AV2" xr:uid="{00000000-0009-0000-0000-000000000000}">
    <sortState ref="A3:AV98">
      <sortCondition descending="1" ref="K2"/>
    </sortState>
  </autoFilter>
  <mergeCells count="5">
    <mergeCell ref="AD1:AF1"/>
    <mergeCell ref="AA1:AC1"/>
    <mergeCell ref="X1:Z1"/>
    <mergeCell ref="AG1:AP1"/>
    <mergeCell ref="T1:W1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"/>
  <sheetViews>
    <sheetView workbookViewId="0">
      <selection activeCell="F38" sqref="F38"/>
    </sheetView>
  </sheetViews>
  <sheetFormatPr defaultRowHeight="14.5" x14ac:dyDescent="0.35"/>
  <sheetData>
    <row r="1" spans="1:30" x14ac:dyDescent="0.35">
      <c r="A1">
        <v>43</v>
      </c>
      <c r="B1" t="s">
        <v>134</v>
      </c>
      <c r="C1" t="s">
        <v>135</v>
      </c>
      <c r="D1" t="s">
        <v>136</v>
      </c>
      <c r="E1" t="s">
        <v>137</v>
      </c>
      <c r="F1">
        <f>(E1-D1)</f>
        <v>44923036840</v>
      </c>
      <c r="G1">
        <f>(E1/D1)*100</f>
        <v>134.1825173113387</v>
      </c>
      <c r="H1">
        <v>37866</v>
      </c>
      <c r="I1">
        <f>(T1+W1+Z1)</f>
        <v>3107</v>
      </c>
      <c r="J1">
        <v>128.72111553784859</v>
      </c>
      <c r="K1">
        <v>11.58565737051793</v>
      </c>
      <c r="L1">
        <v>10.366533864541831</v>
      </c>
      <c r="M1">
        <v>0.77290836653386452</v>
      </c>
      <c r="N1">
        <v>0.16733067729083659</v>
      </c>
      <c r="O1">
        <v>1.9920318725099601E-2</v>
      </c>
      <c r="P1">
        <v>128.32270916334659</v>
      </c>
      <c r="Q1" t="s">
        <v>138</v>
      </c>
      <c r="R1">
        <v>32.270916334661351</v>
      </c>
      <c r="S1">
        <v>32309</v>
      </c>
      <c r="T1">
        <v>2908</v>
      </c>
      <c r="U1">
        <v>35217</v>
      </c>
      <c r="V1">
        <v>2220</v>
      </c>
      <c r="W1">
        <v>194</v>
      </c>
      <c r="X1">
        <v>2602</v>
      </c>
      <c r="Y1">
        <v>42</v>
      </c>
      <c r="Z1">
        <v>5</v>
      </c>
      <c r="AA1">
        <v>47</v>
      </c>
      <c r="AB1">
        <v>23</v>
      </c>
      <c r="AC1">
        <v>5</v>
      </c>
      <c r="AD1">
        <v>28</v>
      </c>
    </row>
    <row r="2" spans="1:30" x14ac:dyDescent="0.35">
      <c r="A2">
        <v>44</v>
      </c>
      <c r="B2" t="s">
        <v>134</v>
      </c>
      <c r="C2" t="s">
        <v>135</v>
      </c>
      <c r="D2" t="s">
        <v>136</v>
      </c>
      <c r="E2" t="s">
        <v>137</v>
      </c>
      <c r="F2">
        <f>(E2-D2)</f>
        <v>44923036840</v>
      </c>
      <c r="G2">
        <f>(E2/D2)*100</f>
        <v>134.1825173113387</v>
      </c>
      <c r="H2">
        <v>37866</v>
      </c>
      <c r="I2">
        <f>(T2+W2+Z2)</f>
        <v>3107</v>
      </c>
      <c r="J2">
        <v>128.72111553784859</v>
      </c>
      <c r="K2">
        <v>11.58565737051793</v>
      </c>
      <c r="L2">
        <v>10.366533864541831</v>
      </c>
      <c r="M2">
        <v>0.77290836653386452</v>
      </c>
      <c r="N2">
        <v>0.16733067729083659</v>
      </c>
      <c r="O2">
        <v>1.9920318725099601E-2</v>
      </c>
      <c r="P2">
        <v>128.32270916334659</v>
      </c>
      <c r="Q2" t="s">
        <v>138</v>
      </c>
      <c r="R2">
        <v>32.270916334661351</v>
      </c>
      <c r="S2">
        <v>32309</v>
      </c>
      <c r="T2">
        <v>2908</v>
      </c>
      <c r="U2">
        <v>35217</v>
      </c>
      <c r="V2">
        <v>2220</v>
      </c>
      <c r="W2">
        <v>194</v>
      </c>
      <c r="X2">
        <v>2602</v>
      </c>
      <c r="Y2">
        <v>42</v>
      </c>
      <c r="Z2">
        <v>5</v>
      </c>
      <c r="AA2">
        <v>47</v>
      </c>
      <c r="AB2">
        <v>23</v>
      </c>
      <c r="AC2">
        <v>5</v>
      </c>
      <c r="AD2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2026-01-07T07:22:54Z</dcterms:modified>
</cp:coreProperties>
</file>