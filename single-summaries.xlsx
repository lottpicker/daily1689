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20" yWindow="990" windowWidth="25160" windowHeight="18450" tabRatio="386" firstSheet="0" activeTab="0" autoFilterDateGrouping="1"/>
  </bookViews>
  <sheets>
    <sheet name="Sheet1" sheetId="1" state="visible" r:id="rId1"/>
  </sheets>
  <definedNames>
    <definedName name="_xlnm._FilterDatabase" localSheetId="0" hidden="1">'Sheet1'!$A$2:$BD$112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FF00"/>
      <sz val="11"/>
      <scheme val="minor"/>
    </font>
  </fonts>
  <fills count="17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1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2" fontId="1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2" fillId="0" borderId="0" pivotButton="0" quotePrefix="0" xfId="1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164" fontId="1" fillId="16" borderId="0" applyAlignment="1" pivotButton="0" quotePrefix="0" xfId="1">
      <alignment horizontal="center" vertical="center"/>
    </xf>
    <xf numFmtId="164" fontId="2" fillId="7" borderId="0" applyAlignment="1" pivotButton="0" quotePrefix="0" xfId="1">
      <alignment horizontal="center" vertical="center"/>
    </xf>
    <xf numFmtId="1" fontId="0" fillId="0" borderId="0" pivotButton="0" quotePrefix="0" xfId="0"/>
    <xf numFmtId="1" fontId="1" fillId="2" borderId="0" applyAlignment="1" pivotButton="0" quotePrefix="0" xfId="0">
      <alignment horizontal="center" vertical="center"/>
    </xf>
    <xf numFmtId="1" fontId="2" fillId="0" borderId="0" pivotButton="0" quotePrefix="0" xfId="1"/>
    <xf numFmtId="164" fontId="2" fillId="7" borderId="0" pivotButton="0" quotePrefix="0" xfId="1"/>
    <xf numFmtId="1" fontId="3" fillId="10" borderId="0" applyAlignment="1" pivotButton="0" quotePrefix="0" xfId="0">
      <alignment horizontal="center" vertical="center" wrapText="1"/>
    </xf>
    <xf numFmtId="1" fontId="3" fillId="15" borderId="0" applyAlignment="1" pivotButton="0" quotePrefix="0" xfId="0">
      <alignment horizontal="center" vertical="center" wrapText="1"/>
    </xf>
    <xf numFmtId="1" fontId="1" fillId="14" borderId="0" applyAlignment="1" pivotButton="0" quotePrefix="0" xfId="1">
      <alignment horizontal="center" vertical="center"/>
    </xf>
    <xf numFmtId="1" fontId="4" fillId="7" borderId="0" applyAlignment="1" pivotButton="0" quotePrefix="0" xfId="1">
      <alignment vertical="center"/>
    </xf>
    <xf numFmtId="1" fontId="2" fillId="7" borderId="0" pivotButton="0" quotePrefix="0" xfId="1"/>
    <xf numFmtId="164" fontId="2" fillId="12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15" borderId="0" pivotButton="0" quotePrefix="0" xfId="0"/>
    <xf numFmtId="165" fontId="2" fillId="0" borderId="0" pivotButton="0" quotePrefix="0" xfId="1"/>
    <xf numFmtId="165" fontId="2" fillId="7" borderId="0" pivotButton="0" quotePrefix="0" xfId="1"/>
    <xf numFmtId="165" fontId="2" fillId="12" borderId="0" applyAlignment="1" pivotButton="0" quotePrefix="0" xfId="1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13" borderId="0" applyAlignment="1" pivotButton="0" quotePrefix="0" xfId="0">
      <alignment horizontal="center" vertical="center"/>
    </xf>
    <xf numFmtId="165" fontId="2" fillId="0" borderId="0" pivotButton="0" quotePrefix="0" xfId="1"/>
    <xf numFmtId="165" fontId="2" fillId="7" borderId="0" pivotButton="0" quotePrefix="0" xfId="1"/>
    <xf numFmtId="165" fontId="2" fillId="12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tabSelected="1" workbookViewId="0">
      <pane xSplit="5" ySplit="2" topLeftCell="AS3" activePane="bottomRight" state="frozen"/>
      <selection pane="topRight" activeCell="F1" sqref="F1"/>
      <selection pane="bottomLeft" activeCell="A3" sqref="A3"/>
      <selection pane="bottomRight" activeCell="AS25" sqref="AS25"/>
    </sheetView>
  </sheetViews>
  <sheetFormatPr baseColWidth="8" defaultRowHeight="14.5"/>
  <cols>
    <col width="13.36328125" customWidth="1" style="40" min="2" max="2"/>
    <col width="8.453125" customWidth="1" style="40" min="3" max="3"/>
    <col width="7.453125" customWidth="1" style="40" min="4" max="4"/>
    <col width="18.7265625" customWidth="1" style="18" min="5" max="5"/>
    <col width="11.54296875" customWidth="1" style="24" min="6" max="6"/>
    <col width="14.1796875" customWidth="1" style="24" min="7" max="7"/>
    <col width="9" customWidth="1" style="40" min="8" max="8"/>
    <col width="9.1796875" customWidth="1" style="40" min="9" max="11"/>
    <col width="16.81640625" customWidth="1" style="40" min="12" max="19"/>
    <col width="17.81640625" customWidth="1" style="40" min="20" max="20"/>
    <col width="16.81640625" customWidth="1" style="40" min="21" max="23"/>
    <col width="9.26953125" customWidth="1" style="40" min="24" max="28"/>
    <col width="9.26953125" customWidth="1" style="17" min="29" max="29"/>
    <col width="9.26953125" customWidth="1" style="40" min="30" max="31"/>
    <col width="9.26953125" customWidth="1" style="18" min="32" max="32"/>
    <col width="8.453125" customWidth="1" style="40" min="33" max="33"/>
    <col width="6.453125" customWidth="1" style="40" min="34" max="41"/>
    <col width="8" customWidth="1" style="40" min="42" max="42"/>
    <col width="25.7265625" customWidth="1" style="18" min="43" max="43"/>
    <col width="18.7265625" customWidth="1" style="18" min="44" max="44"/>
    <col width="13" customWidth="1" style="26" min="45" max="45"/>
    <col width="9.26953125" customWidth="1" style="26" min="46" max="46"/>
    <col width="11.453125" customWidth="1" style="26" min="47" max="47"/>
    <col width="8.54296875" customWidth="1" style="26" min="48" max="48"/>
    <col width="18.7265625" customWidth="1" style="26" min="49" max="49"/>
    <col width="13.81640625" customWidth="1" style="26" min="50" max="50"/>
    <col width="18.7265625" customWidth="1" style="18" min="51" max="51"/>
    <col width="18.7265625" customWidth="1" style="42" min="52" max="52"/>
    <col width="17.54296875" customWidth="1" style="40" min="53" max="53"/>
    <col width="6.54296875" customWidth="1" style="40" min="54" max="56"/>
  </cols>
  <sheetData>
    <row r="1" ht="23.5" customHeight="1" s="40">
      <c r="T1" s="41" t="inlineStr">
        <is>
          <t>CHU KỲ 10 KỲ</t>
        </is>
      </c>
      <c r="X1" s="19" t="n"/>
      <c r="Y1" s="1" t="inlineStr">
        <is>
          <t>Trúng 3</t>
        </is>
      </c>
      <c r="Z1" s="1" t="n"/>
      <c r="AA1" s="15" t="n"/>
      <c r="AB1" s="15" t="inlineStr">
        <is>
          <t>Trúng 4</t>
        </is>
      </c>
      <c r="AC1" s="15" t="n"/>
      <c r="AD1" s="20" t="n"/>
      <c r="AE1" s="20" t="inlineStr">
        <is>
          <t>Trúng 5</t>
        </is>
      </c>
      <c r="AF1" s="20" t="n"/>
      <c r="AG1" s="39" t="inlineStr">
        <is>
          <t>Trung bình/Kỳ</t>
        </is>
      </c>
      <c r="AS1" s="32" t="n"/>
      <c r="AT1" s="32" t="n"/>
      <c r="AU1" s="32" t="n"/>
      <c r="AV1" s="32" t="n"/>
      <c r="AW1" s="31" t="inlineStr">
        <is>
          <t>KỲ CHIA</t>
        </is>
      </c>
      <c r="AX1" s="32" t="n"/>
      <c r="AY1" s="27" t="n"/>
      <c r="AZ1" s="43" t="n"/>
    </row>
    <row r="2" ht="65.5" customFormat="1" customHeight="1" s="2">
      <c r="A2" s="5" t="inlineStr">
        <is>
          <t>Kịch bản
#</t>
        </is>
      </c>
      <c r="B2" s="1" t="inlineStr">
        <is>
          <t>Từ-Đến</t>
        </is>
      </c>
      <c r="C2" s="1" t="inlineStr">
        <is>
          <t>Số kỳ</t>
        </is>
      </c>
      <c r="D2" s="10" t="inlineStr">
        <is>
          <t>% thu hồi</t>
        </is>
      </c>
      <c r="E2" s="23" t="inlineStr">
        <is>
          <t>Lãi/Lỗ</t>
        </is>
      </c>
      <c r="F2" s="25" t="inlineStr">
        <is>
          <t>Tất cả vé&gt;=3</t>
        </is>
      </c>
      <c r="G2" s="25" t="inlineStr">
        <is>
          <t>Tất cả  +1</t>
        </is>
      </c>
      <c r="H2" s="4" t="inlineStr">
        <is>
          <t>Thu 
&lt;80%</t>
        </is>
      </c>
      <c r="I2" s="4" t="inlineStr">
        <is>
          <t>Tỉ lệ
&lt;80%</t>
        </is>
      </c>
      <c r="J2" s="14" t="inlineStr">
        <is>
          <t>Thu 
&gt;90%</t>
        </is>
      </c>
      <c r="K2" s="14" t="inlineStr">
        <is>
          <t>Tỉ lệ
&gt;90%</t>
        </is>
      </c>
      <c r="L2" s="12" t="inlineStr">
        <is>
          <t>Số kỳ thu hồi
 &gt;=120%</t>
        </is>
      </c>
      <c r="M2" s="12" t="inlineStr">
        <is>
          <t>Tỉ lệ  kỳ  
thu  
 &gt;=120%</t>
        </is>
      </c>
      <c r="N2" s="16" t="inlineStr">
        <is>
          <t>Số kỳ thu hồi
 &gt;=140%</t>
        </is>
      </c>
      <c r="O2" s="16" t="inlineStr">
        <is>
          <t>Tỉ lệ  kỳ  thu  
 &gt;=140%</t>
        </is>
      </c>
      <c r="P2" s="13" t="inlineStr">
        <is>
          <t>Số kỳ thu hồi
 &gt;=160%</t>
        </is>
      </c>
      <c r="Q2" s="13" t="inlineStr">
        <is>
          <t>Tỉ lệ  kỳ  thu  
 &gt;=160%</t>
        </is>
      </c>
      <c r="R2" s="7" t="inlineStr">
        <is>
          <t>Số kỳ thu hồi
 &gt;=200%</t>
        </is>
      </c>
      <c r="S2" s="7" t="inlineStr">
        <is>
          <t>Tỉ lệ  kỳ  thu  
 &gt;=200%</t>
        </is>
      </c>
      <c r="T2" s="11" t="inlineStr">
        <is>
          <t>Số chu kỳ 10 kỳ thu hồi
 &gt;=90%</t>
        </is>
      </c>
      <c r="U2" s="11" t="inlineStr">
        <is>
          <t>Tỉ lệ chu kỳ 10 kỳ 
thu hồi 
10 &gt;=90%</t>
        </is>
      </c>
      <c r="V2" s="7" t="inlineStr">
        <is>
          <t>Số chu kỳ 10 kỳ thu hồi
 &gt;=100%</t>
        </is>
      </c>
      <c r="W2" s="7" t="inlineStr">
        <is>
          <t>Tỉ lệ chu kỳ 10 kỳ 
thu hồi 
10 &gt;=100%</t>
        </is>
      </c>
      <c r="X2" s="8" t="n">
        <v>3</v>
      </c>
      <c r="Y2" s="8" t="inlineStr">
        <is>
          <t>3+</t>
        </is>
      </c>
      <c r="Z2" s="8" t="inlineStr">
        <is>
          <t>Tổng  3</t>
        </is>
      </c>
      <c r="AA2" s="8" t="n">
        <v>4</v>
      </c>
      <c r="AB2" s="8" t="inlineStr">
        <is>
          <t>4+</t>
        </is>
      </c>
      <c r="AC2" s="9" t="inlineStr">
        <is>
          <t>Tổng 4</t>
        </is>
      </c>
      <c r="AD2" s="8" t="n">
        <v>5</v>
      </c>
      <c r="AE2" s="8" t="inlineStr">
        <is>
          <t>5+</t>
        </is>
      </c>
      <c r="AF2" s="22" t="inlineStr">
        <is>
          <t>Tổng 5</t>
        </is>
      </c>
      <c r="AG2" s="3" t="n">
        <v>3</v>
      </c>
      <c r="AH2" s="3" t="inlineStr">
        <is>
          <t>3+</t>
        </is>
      </c>
      <c r="AI2" s="3" t="inlineStr">
        <is>
          <t>#3</t>
        </is>
      </c>
      <c r="AJ2" s="3" t="n">
        <v>4</v>
      </c>
      <c r="AK2" s="3" t="inlineStr">
        <is>
          <t>4+</t>
        </is>
      </c>
      <c r="AL2" s="3" t="inlineStr">
        <is>
          <t>#4</t>
        </is>
      </c>
      <c r="AM2" s="3" t="n">
        <v>5</v>
      </c>
      <c r="AN2" s="3" t="inlineStr">
        <is>
          <t>5+</t>
        </is>
      </c>
      <c r="AO2" s="3" t="inlineStr">
        <is>
          <t>#5</t>
        </is>
      </c>
      <c r="AP2" s="3" t="inlineStr">
        <is>
          <t>+</t>
        </is>
      </c>
      <c r="AQ2" s="6" t="inlineStr">
        <is>
          <t>Chi</t>
        </is>
      </c>
      <c r="AR2" s="21" t="inlineStr">
        <is>
          <t>Thu</t>
        </is>
      </c>
      <c r="AS2" s="28" t="inlineStr">
        <is>
          <t>Thu 
&gt;90%</t>
        </is>
      </c>
      <c r="AT2" s="28" t="inlineStr">
        <is>
          <t>Tỉ lệ
&gt;90%</t>
        </is>
      </c>
      <c r="AU2" s="29" t="inlineStr">
        <is>
          <t>Thu 
&gt;100%</t>
        </is>
      </c>
      <c r="AV2" s="29" t="inlineStr">
        <is>
          <t>Tỉ lệ
&gt;100%</t>
        </is>
      </c>
      <c r="AW2" s="30" t="inlineStr">
        <is>
          <t>Chi</t>
        </is>
      </c>
      <c r="AX2" s="30" t="inlineStr">
        <is>
          <t>Thu</t>
        </is>
      </c>
      <c r="AY2" s="33" t="inlineStr">
        <is>
          <t>Lãi/Lỗ</t>
        </is>
      </c>
      <c r="AZ2" s="44" t="inlineStr">
        <is>
          <t>% thu hồi</t>
        </is>
      </c>
      <c r="BA2" s="15" t="inlineStr">
        <is>
          <t>Link chi tiết</t>
        </is>
      </c>
    </row>
    <row r="3">
      <c r="A3" s="18" t="n">
        <v>15</v>
      </c>
      <c r="B3" t="inlineStr">
        <is>
          <t>38,54,70,96,146,168,192,266,290,340,392,430,462</t>
        </is>
      </c>
      <c r="C3" t="inlineStr">
        <is>
          <t>13</t>
        </is>
      </c>
      <c r="D3" t="n">
        <v>114.22</v>
      </c>
      <c r="E3" s="18" t="n">
        <v>967660930</v>
      </c>
      <c r="F3" t="n">
        <v>1951</v>
      </c>
      <c r="G3" t="n">
        <v>145</v>
      </c>
      <c r="H3" t="inlineStr">
        <is>
          <t>4/13</t>
        </is>
      </c>
      <c r="I3" t="n">
        <v>30.77</v>
      </c>
      <c r="J3" t="inlineStr">
        <is>
          <t>7/13</t>
        </is>
      </c>
      <c r="K3" t="n">
        <v>53.85</v>
      </c>
      <c r="L3" t="inlineStr">
        <is>
          <t>3/13</t>
        </is>
      </c>
      <c r="M3" t="n">
        <v>23.08</v>
      </c>
      <c r="N3" t="inlineStr">
        <is>
          <t>2/13</t>
        </is>
      </c>
      <c r="O3" t="n">
        <v>15.38</v>
      </c>
      <c r="P3" t="inlineStr">
        <is>
          <t>2/13</t>
        </is>
      </c>
      <c r="Q3" t="n">
        <v>15.38</v>
      </c>
      <c r="R3" t="inlineStr">
        <is>
          <t>2/13</t>
        </is>
      </c>
      <c r="S3" t="n">
        <v>15.38</v>
      </c>
      <c r="T3" t="inlineStr">
        <is>
          <t>1/1</t>
        </is>
      </c>
      <c r="U3" t="n">
        <v>100</v>
      </c>
      <c r="V3" t="inlineStr">
        <is>
          <t>1/1</t>
        </is>
      </c>
      <c r="W3" t="n">
        <v>100</v>
      </c>
      <c r="X3" t="n">
        <v>1678</v>
      </c>
      <c r="Y3" t="n">
        <v>134</v>
      </c>
      <c r="Z3" t="n">
        <v>1812</v>
      </c>
      <c r="AA3" t="n">
        <v>119</v>
      </c>
      <c r="AB3" t="n">
        <v>10</v>
      </c>
      <c r="AC3" t="n">
        <v>137</v>
      </c>
      <c r="AD3" t="n">
        <v>1</v>
      </c>
      <c r="AE3" t="n">
        <v>1</v>
      </c>
      <c r="AF3" t="n">
        <v>2</v>
      </c>
      <c r="AG3" t="n">
        <v>129.08</v>
      </c>
      <c r="AH3" t="n">
        <v>10.31</v>
      </c>
      <c r="AI3" t="n">
        <v>10.31</v>
      </c>
      <c r="AJ3" t="n">
        <v>10.54</v>
      </c>
      <c r="AK3" t="n">
        <v>0.77</v>
      </c>
      <c r="AL3" t="n">
        <v>0.77</v>
      </c>
      <c r="AM3" t="n">
        <v>0.08</v>
      </c>
      <c r="AN3" t="n">
        <v>0.08</v>
      </c>
      <c r="AO3" t="n">
        <v>0.15</v>
      </c>
      <c r="AP3" t="n">
        <v>129.85</v>
      </c>
      <c r="AQ3" s="18" t="n">
        <v>6806670000</v>
      </c>
      <c r="AR3" s="18" t="n">
        <v>7774330930</v>
      </c>
      <c r="AS3" t="inlineStr">
        <is>
          <t>7/13</t>
        </is>
      </c>
      <c r="AT3" t="n">
        <v>53.85</v>
      </c>
      <c r="AU3" t="inlineStr">
        <is>
          <t>7/13</t>
        </is>
      </c>
      <c r="AV3" t="n">
        <v>53.85</v>
      </c>
      <c r="AW3" s="18" t="n">
        <v>6806670000</v>
      </c>
      <c r="AX3" s="18" t="n">
        <v>7774330930</v>
      </c>
      <c r="AY3" s="18" t="n">
        <v>967660930</v>
      </c>
      <c r="AZ3" t="n">
        <v>114.22</v>
      </c>
      <c r="BA3">
        <f>HYPERLINK("https://github.com/lottpicker/daily1689/blob/main/summary-v15.txt", "Click view")</f>
        <v/>
      </c>
    </row>
    <row r="4">
      <c r="A4" s="18" t="n">
        <v>46</v>
      </c>
      <c r="B4" t="inlineStr">
        <is>
          <t>38,54,70,96,146,168,192,266,290,340,392,430,462</t>
        </is>
      </c>
      <c r="C4" t="inlineStr">
        <is>
          <t>13</t>
        </is>
      </c>
      <c r="D4" t="n">
        <v>164</v>
      </c>
      <c r="E4" s="18" t="n">
        <v>4356252612.5</v>
      </c>
      <c r="F4" t="n">
        <v>1962</v>
      </c>
      <c r="G4" t="n">
        <v>171</v>
      </c>
      <c r="H4" t="inlineStr">
        <is>
          <t>7/13</t>
        </is>
      </c>
      <c r="I4" t="n">
        <v>53.85</v>
      </c>
      <c r="J4" t="inlineStr">
        <is>
          <t>6/13</t>
        </is>
      </c>
      <c r="K4" t="n">
        <v>46.15</v>
      </c>
      <c r="L4" t="inlineStr">
        <is>
          <t>5/13</t>
        </is>
      </c>
      <c r="M4" t="n">
        <v>38.46</v>
      </c>
      <c r="N4" t="inlineStr">
        <is>
          <t>4/13</t>
        </is>
      </c>
      <c r="O4" t="n">
        <v>30.77</v>
      </c>
      <c r="P4" t="inlineStr">
        <is>
          <t>3/13</t>
        </is>
      </c>
      <c r="Q4" t="n">
        <v>23.08</v>
      </c>
      <c r="R4" t="inlineStr">
        <is>
          <t>3/13</t>
        </is>
      </c>
      <c r="S4" t="n">
        <v>23.08</v>
      </c>
      <c r="T4" t="inlineStr">
        <is>
          <t>1/1</t>
        </is>
      </c>
      <c r="U4" t="n">
        <v>100</v>
      </c>
      <c r="V4" t="inlineStr">
        <is>
          <t>1/1</t>
        </is>
      </c>
      <c r="W4" t="n">
        <v>100</v>
      </c>
      <c r="X4" t="n">
        <v>1664</v>
      </c>
      <c r="Y4" t="n">
        <v>160</v>
      </c>
      <c r="Z4" t="n">
        <v>1824</v>
      </c>
      <c r="AA4" t="n">
        <v>112</v>
      </c>
      <c r="AB4" t="n">
        <v>11</v>
      </c>
      <c r="AC4" t="n">
        <v>135</v>
      </c>
      <c r="AD4" t="n">
        <v>3</v>
      </c>
      <c r="AE4" t="n">
        <v>0</v>
      </c>
      <c r="AF4" t="n">
        <v>3</v>
      </c>
      <c r="AG4" t="n">
        <v>128</v>
      </c>
      <c r="AH4" t="n">
        <v>12.31</v>
      </c>
      <c r="AI4" t="n">
        <v>12.31</v>
      </c>
      <c r="AJ4" t="n">
        <v>10.38</v>
      </c>
      <c r="AK4" t="n">
        <v>0.85</v>
      </c>
      <c r="AL4" t="n">
        <v>0.85</v>
      </c>
      <c r="AM4" t="n">
        <v>0.23</v>
      </c>
      <c r="AN4" t="n">
        <v>0</v>
      </c>
      <c r="AO4" t="n">
        <v>0.23</v>
      </c>
      <c r="AP4" t="n">
        <v>127.69</v>
      </c>
      <c r="AQ4" s="18" t="n">
        <v>6806670000</v>
      </c>
      <c r="AR4" s="18" t="n">
        <v>11162922612.5</v>
      </c>
      <c r="AS4" t="inlineStr">
        <is>
          <t>6/13</t>
        </is>
      </c>
      <c r="AT4" t="n">
        <v>46.15</v>
      </c>
      <c r="AU4" t="inlineStr">
        <is>
          <t>6/13</t>
        </is>
      </c>
      <c r="AV4" t="n">
        <v>46.15</v>
      </c>
      <c r="AW4" s="18" t="n">
        <v>6806670000</v>
      </c>
      <c r="AX4" s="18" t="n">
        <v>11162922612.5</v>
      </c>
      <c r="AY4" s="18" t="n">
        <v>4356252612.5</v>
      </c>
      <c r="AZ4" t="n">
        <v>164</v>
      </c>
      <c r="BA4">
        <f>HYPERLINK("https://github.com/lottpicker/daily1689/blob/main/summary-v46.txt", "Click view")</f>
        <v/>
      </c>
    </row>
    <row r="5">
      <c r="A5" t="n">
        <v>80</v>
      </c>
      <c r="B5" t="inlineStr">
        <is>
          <t>38,54,70,96,146,168,192,266,290,340,392,430,462</t>
        </is>
      </c>
      <c r="C5" t="inlineStr">
        <is>
          <t>13</t>
        </is>
      </c>
      <c r="D5" t="n">
        <v>144.82</v>
      </c>
      <c r="E5" s="18" t="n">
        <v>3050679824.700001</v>
      </c>
      <c r="F5" t="n">
        <v>1962</v>
      </c>
      <c r="G5" t="n">
        <v>163</v>
      </c>
      <c r="H5" t="inlineStr">
        <is>
          <t>9/13</t>
        </is>
      </c>
      <c r="I5" t="n">
        <v>69.23</v>
      </c>
      <c r="J5" t="inlineStr">
        <is>
          <t>4/13</t>
        </is>
      </c>
      <c r="K5" t="n">
        <v>30.77</v>
      </c>
      <c r="L5" t="inlineStr">
        <is>
          <t>3/13</t>
        </is>
      </c>
      <c r="M5" t="n">
        <v>23.08</v>
      </c>
      <c r="N5" t="inlineStr">
        <is>
          <t>2/13</t>
        </is>
      </c>
      <c r="O5" t="n">
        <v>15.38</v>
      </c>
      <c r="P5" t="inlineStr">
        <is>
          <t>2/13</t>
        </is>
      </c>
      <c r="Q5" t="n">
        <v>15.38</v>
      </c>
      <c r="R5" t="inlineStr">
        <is>
          <t>2/13</t>
        </is>
      </c>
      <c r="S5" t="n">
        <v>15.38</v>
      </c>
      <c r="T5" t="inlineStr">
        <is>
          <t>1/1</t>
        </is>
      </c>
      <c r="U5" t="n">
        <v>100</v>
      </c>
      <c r="V5" t="inlineStr">
        <is>
          <t>1/1</t>
        </is>
      </c>
      <c r="W5" t="n">
        <v>100</v>
      </c>
      <c r="X5" t="n">
        <v>1666</v>
      </c>
      <c r="Y5" t="n">
        <v>158</v>
      </c>
      <c r="Z5" t="n">
        <v>1824</v>
      </c>
      <c r="AA5" t="n">
        <v>118</v>
      </c>
      <c r="AB5" t="n">
        <v>5</v>
      </c>
      <c r="AC5" t="n">
        <v>135</v>
      </c>
      <c r="AD5" t="n">
        <v>3</v>
      </c>
      <c r="AE5" t="n">
        <v>0</v>
      </c>
      <c r="AF5" t="n">
        <v>3</v>
      </c>
      <c r="AG5" t="n">
        <v>128.15</v>
      </c>
      <c r="AH5" t="n">
        <v>12.15</v>
      </c>
      <c r="AI5" t="n">
        <v>12.15</v>
      </c>
      <c r="AJ5" t="n">
        <v>10.38</v>
      </c>
      <c r="AK5" t="n">
        <v>0.38</v>
      </c>
      <c r="AL5" t="n">
        <v>0.38</v>
      </c>
      <c r="AM5" t="n">
        <v>0.23</v>
      </c>
      <c r="AN5" t="n">
        <v>0</v>
      </c>
      <c r="AO5" t="n">
        <v>0.23</v>
      </c>
      <c r="AP5" t="n">
        <v>127.46</v>
      </c>
      <c r="AQ5" s="18" t="n">
        <v>6806670000</v>
      </c>
      <c r="AR5" s="18" t="n">
        <v>9857349824.700001</v>
      </c>
      <c r="AS5" t="inlineStr">
        <is>
          <t>4/13</t>
        </is>
      </c>
      <c r="AT5" t="n">
        <v>30.77</v>
      </c>
      <c r="AU5" t="inlineStr">
        <is>
          <t>4/13</t>
        </is>
      </c>
      <c r="AV5" t="n">
        <v>30.77</v>
      </c>
      <c r="AW5" s="18" t="n">
        <v>6806670000</v>
      </c>
      <c r="AX5" s="18" t="n">
        <v>9857349824.700001</v>
      </c>
      <c r="AY5" s="18" t="n">
        <v>3050679824.700001</v>
      </c>
      <c r="AZ5" t="n">
        <v>144.82</v>
      </c>
      <c r="BA5">
        <f>HYPERLINK("https://github.com/lottpicker/daily1689/blob/main/summary-v80.txt", "Click view")</f>
        <v/>
      </c>
    </row>
    <row r="6">
      <c r="A6" t="n">
        <v>81</v>
      </c>
      <c r="B6" t="inlineStr">
        <is>
          <t>38,54,70,96,146,168,192,266,290,340,392,430,462</t>
        </is>
      </c>
      <c r="C6" t="inlineStr">
        <is>
          <t>13</t>
        </is>
      </c>
      <c r="D6" t="n">
        <v>130.92</v>
      </c>
      <c r="E6" s="18" t="n">
        <v>2104887837.5</v>
      </c>
      <c r="F6" t="n">
        <v>1962</v>
      </c>
      <c r="G6" t="n">
        <v>169</v>
      </c>
      <c r="H6" t="inlineStr">
        <is>
          <t>7/13</t>
        </is>
      </c>
      <c r="I6" t="n">
        <v>53.85</v>
      </c>
      <c r="J6" t="inlineStr">
        <is>
          <t>6/13</t>
        </is>
      </c>
      <c r="K6" t="n">
        <v>46.15</v>
      </c>
      <c r="L6" t="inlineStr">
        <is>
          <t>4/13</t>
        </is>
      </c>
      <c r="M6" t="n">
        <v>30.77</v>
      </c>
      <c r="N6" t="inlineStr">
        <is>
          <t>4/13</t>
        </is>
      </c>
      <c r="O6" t="n">
        <v>30.77</v>
      </c>
      <c r="P6" t="inlineStr">
        <is>
          <t>3/13</t>
        </is>
      </c>
      <c r="Q6" t="n">
        <v>23.08</v>
      </c>
      <c r="R6" t="inlineStr">
        <is>
          <t>3/13</t>
        </is>
      </c>
      <c r="S6" t="n">
        <v>23.08</v>
      </c>
      <c r="T6" t="inlineStr">
        <is>
          <t>1/1</t>
        </is>
      </c>
      <c r="U6" t="n">
        <v>100</v>
      </c>
      <c r="V6" t="inlineStr">
        <is>
          <t>1/1</t>
        </is>
      </c>
      <c r="W6" t="n">
        <v>100</v>
      </c>
      <c r="X6" t="n">
        <v>1664</v>
      </c>
      <c r="Y6" t="n">
        <v>160</v>
      </c>
      <c r="Z6" t="n">
        <v>1824</v>
      </c>
      <c r="AA6" t="n">
        <v>115</v>
      </c>
      <c r="AB6" t="n">
        <v>8</v>
      </c>
      <c r="AC6" t="n">
        <v>135</v>
      </c>
      <c r="AD6" t="n">
        <v>2</v>
      </c>
      <c r="AE6" t="n">
        <v>1</v>
      </c>
      <c r="AF6" t="n">
        <v>3</v>
      </c>
      <c r="AG6" t="n">
        <v>128</v>
      </c>
      <c r="AH6" t="n">
        <v>12.31</v>
      </c>
      <c r="AI6" t="n">
        <v>12.31</v>
      </c>
      <c r="AJ6" t="n">
        <v>10.38</v>
      </c>
      <c r="AK6" t="n">
        <v>0.62</v>
      </c>
      <c r="AL6" t="n">
        <v>0.62</v>
      </c>
      <c r="AM6" t="n">
        <v>0.15</v>
      </c>
      <c r="AN6" t="n">
        <v>0.08</v>
      </c>
      <c r="AO6" t="n">
        <v>0.23</v>
      </c>
      <c r="AP6" t="n">
        <v>127</v>
      </c>
      <c r="AQ6" s="18" t="n">
        <v>6806670000</v>
      </c>
      <c r="AR6" s="18" t="n">
        <v>8911557837.5</v>
      </c>
      <c r="AS6" t="inlineStr">
        <is>
          <t>6/13</t>
        </is>
      </c>
      <c r="AT6" t="n">
        <v>46.15</v>
      </c>
      <c r="AU6" t="inlineStr">
        <is>
          <t>6/13</t>
        </is>
      </c>
      <c r="AV6" t="n">
        <v>46.15</v>
      </c>
      <c r="AW6" s="18" t="n">
        <v>6806670000</v>
      </c>
      <c r="AX6" s="18" t="n">
        <v>8911557837.5</v>
      </c>
      <c r="AY6" s="18" t="n">
        <v>2104887837.5</v>
      </c>
      <c r="AZ6" t="n">
        <v>130.92</v>
      </c>
      <c r="BA6">
        <f>HYPERLINK("https://github.com/lottpicker/daily1689/blob/main/summary-v81.txt", "Click view")</f>
        <v/>
      </c>
    </row>
    <row r="7">
      <c r="A7" t="n">
        <v>82</v>
      </c>
      <c r="B7" t="inlineStr">
        <is>
          <t>38,54,70,96,146,168,192,266,290,340,392,430,462</t>
        </is>
      </c>
      <c r="C7" t="inlineStr">
        <is>
          <t>13</t>
        </is>
      </c>
      <c r="D7" t="n">
        <v>153.76</v>
      </c>
      <c r="E7" s="18" t="n">
        <v>3659193824.700001</v>
      </c>
      <c r="F7" t="n">
        <v>1962</v>
      </c>
      <c r="G7" t="n">
        <v>124</v>
      </c>
      <c r="H7" t="inlineStr">
        <is>
          <t>5/13</t>
        </is>
      </c>
      <c r="I7" t="n">
        <v>38.46</v>
      </c>
      <c r="J7" t="inlineStr">
        <is>
          <t>7/13</t>
        </is>
      </c>
      <c r="K7" t="n">
        <v>53.85</v>
      </c>
      <c r="L7" t="inlineStr">
        <is>
          <t>3/13</t>
        </is>
      </c>
      <c r="M7" t="n">
        <v>23.08</v>
      </c>
      <c r="N7" t="inlineStr">
        <is>
          <t>3/13</t>
        </is>
      </c>
      <c r="O7" t="n">
        <v>23.08</v>
      </c>
      <c r="P7" t="inlineStr">
        <is>
          <t>3/13</t>
        </is>
      </c>
      <c r="Q7" t="n">
        <v>23.08</v>
      </c>
      <c r="R7" t="inlineStr">
        <is>
          <t>2/13</t>
        </is>
      </c>
      <c r="S7" t="n">
        <v>15.38</v>
      </c>
      <c r="T7" t="inlineStr">
        <is>
          <t>1/1</t>
        </is>
      </c>
      <c r="U7" t="n">
        <v>100</v>
      </c>
      <c r="V7" t="inlineStr">
        <is>
          <t>1/1</t>
        </is>
      </c>
      <c r="W7" t="n">
        <v>100</v>
      </c>
      <c r="X7" t="n">
        <v>1708</v>
      </c>
      <c r="Y7" t="n">
        <v>116</v>
      </c>
      <c r="Z7" t="n">
        <v>1824</v>
      </c>
      <c r="AA7" t="n">
        <v>115</v>
      </c>
      <c r="AB7" t="n">
        <v>8</v>
      </c>
      <c r="AC7" t="n">
        <v>135</v>
      </c>
      <c r="AD7" t="n">
        <v>3</v>
      </c>
      <c r="AE7" t="n">
        <v>0</v>
      </c>
      <c r="AF7" t="n">
        <v>3</v>
      </c>
      <c r="AG7" t="n">
        <v>131.38</v>
      </c>
      <c r="AH7" t="n">
        <v>8.92</v>
      </c>
      <c r="AI7" t="n">
        <v>8.92</v>
      </c>
      <c r="AJ7" t="n">
        <v>10.38</v>
      </c>
      <c r="AK7" t="n">
        <v>0.62</v>
      </c>
      <c r="AL7" t="n">
        <v>0.62</v>
      </c>
      <c r="AM7" t="n">
        <v>0.23</v>
      </c>
      <c r="AN7" t="n">
        <v>0</v>
      </c>
      <c r="AO7" t="n">
        <v>0.23</v>
      </c>
      <c r="AP7" t="n">
        <v>130.46</v>
      </c>
      <c r="AQ7" s="18" t="n">
        <v>6806670000</v>
      </c>
      <c r="AR7" s="18" t="n">
        <v>10465863824.7</v>
      </c>
      <c r="AS7" t="inlineStr">
        <is>
          <t>7/13</t>
        </is>
      </c>
      <c r="AT7" t="n">
        <v>53.85</v>
      </c>
      <c r="AU7" t="inlineStr">
        <is>
          <t>7/13</t>
        </is>
      </c>
      <c r="AV7" t="n">
        <v>53.85</v>
      </c>
      <c r="AW7" s="18" t="n">
        <v>6806670000</v>
      </c>
      <c r="AX7" s="18" t="n">
        <v>10465863824.7</v>
      </c>
      <c r="AY7" s="18" t="n">
        <v>3659193824.700001</v>
      </c>
      <c r="AZ7" t="n">
        <v>153.76</v>
      </c>
      <c r="BA7">
        <f>HYPERLINK("https://github.com/lottpicker/daily1689/blob/main/summary-v82.txt", "Click view")</f>
        <v/>
      </c>
    </row>
    <row r="8">
      <c r="A8" s="35" t="n">
        <v>83</v>
      </c>
      <c r="B8" t="inlineStr">
        <is>
          <t>38,54,70,96,146,168,192,266,290,340,392,430,462</t>
        </is>
      </c>
      <c r="C8" t="inlineStr">
        <is>
          <t>13</t>
        </is>
      </c>
      <c r="D8" t="n">
        <v>114.7</v>
      </c>
      <c r="E8" s="18" t="n">
        <v>1000670717.8</v>
      </c>
      <c r="F8" t="n">
        <v>1951</v>
      </c>
      <c r="G8" t="n">
        <v>184</v>
      </c>
      <c r="H8" t="inlineStr">
        <is>
          <t>5/13</t>
        </is>
      </c>
      <c r="I8" t="n">
        <v>38.46</v>
      </c>
      <c r="J8" s="35" t="inlineStr">
        <is>
          <t>8/13</t>
        </is>
      </c>
      <c r="K8" s="35" t="n">
        <v>61.54</v>
      </c>
      <c r="L8" t="inlineStr">
        <is>
          <t>4/13</t>
        </is>
      </c>
      <c r="M8" t="n">
        <v>30.77</v>
      </c>
      <c r="N8" t="inlineStr">
        <is>
          <t>3/13</t>
        </is>
      </c>
      <c r="O8" t="n">
        <v>23.08</v>
      </c>
      <c r="P8" t="inlineStr">
        <is>
          <t>2/13</t>
        </is>
      </c>
      <c r="Q8" t="n">
        <v>15.38</v>
      </c>
      <c r="R8" t="inlineStr">
        <is>
          <t>2/13</t>
        </is>
      </c>
      <c r="S8" t="n">
        <v>15.38</v>
      </c>
      <c r="T8" t="inlineStr">
        <is>
          <t>1/1</t>
        </is>
      </c>
      <c r="U8" t="n">
        <v>100</v>
      </c>
      <c r="V8" t="inlineStr">
        <is>
          <t>1/1</t>
        </is>
      </c>
      <c r="W8" t="n">
        <v>100</v>
      </c>
      <c r="X8" t="n">
        <v>1641</v>
      </c>
      <c r="Y8" t="n">
        <v>171</v>
      </c>
      <c r="Z8" t="n">
        <v>1812</v>
      </c>
      <c r="AA8" t="n">
        <v>116</v>
      </c>
      <c r="AB8" t="n">
        <v>13</v>
      </c>
      <c r="AC8" t="n">
        <v>137</v>
      </c>
      <c r="AD8" t="n">
        <v>2</v>
      </c>
      <c r="AE8" t="n">
        <v>0</v>
      </c>
      <c r="AF8" t="n">
        <v>2</v>
      </c>
      <c r="AG8" t="n">
        <v>126.23</v>
      </c>
      <c r="AH8" t="n">
        <v>13.15</v>
      </c>
      <c r="AI8" t="n">
        <v>13.15</v>
      </c>
      <c r="AJ8" t="n">
        <v>10.54</v>
      </c>
      <c r="AK8" t="n">
        <v>1</v>
      </c>
      <c r="AL8" t="n">
        <v>1</v>
      </c>
      <c r="AM8" t="n">
        <v>0.15</v>
      </c>
      <c r="AN8" t="n">
        <v>0</v>
      </c>
      <c r="AO8" t="n">
        <v>0.15</v>
      </c>
      <c r="AP8" t="n">
        <v>125.85</v>
      </c>
      <c r="AQ8" s="18" t="n">
        <v>6806670000</v>
      </c>
      <c r="AR8" s="18" t="n">
        <v>7807340717.8</v>
      </c>
      <c r="AS8" s="35" t="inlineStr">
        <is>
          <t>8/13</t>
        </is>
      </c>
      <c r="AT8" s="35" t="n">
        <v>61.54</v>
      </c>
      <c r="AU8" t="inlineStr">
        <is>
          <t>8/13</t>
        </is>
      </c>
      <c r="AV8" t="n">
        <v>61.54</v>
      </c>
      <c r="AW8" s="18" t="n">
        <v>6806670000</v>
      </c>
      <c r="AX8" s="18" t="n">
        <v>7807340717.8</v>
      </c>
      <c r="AY8" s="18" t="n">
        <v>1000670717.8</v>
      </c>
      <c r="AZ8" s="35" t="n">
        <v>114.7</v>
      </c>
      <c r="BA8">
        <f>HYPERLINK("https://github.com/lottpicker/daily1689/blob/main/summary-v83.txt", "Click view")</f>
        <v/>
      </c>
    </row>
    <row r="9">
      <c r="A9" t="n">
        <v>84</v>
      </c>
      <c r="B9" t="inlineStr">
        <is>
          <t>38,54,70,96,146,168,192,266,290,340,392,430,462</t>
        </is>
      </c>
      <c r="C9" t="inlineStr">
        <is>
          <t>13</t>
        </is>
      </c>
      <c r="D9" t="n">
        <v>104.69</v>
      </c>
      <c r="E9" s="18" t="n">
        <v>319306217.8000002</v>
      </c>
      <c r="F9" t="n">
        <v>1951</v>
      </c>
      <c r="G9" t="n">
        <v>151</v>
      </c>
      <c r="H9" t="inlineStr">
        <is>
          <t>6/13</t>
        </is>
      </c>
      <c r="I9" t="n">
        <v>46.15</v>
      </c>
      <c r="J9" t="inlineStr">
        <is>
          <t>7/13</t>
        </is>
      </c>
      <c r="K9" t="n">
        <v>53.85</v>
      </c>
      <c r="L9" t="inlineStr">
        <is>
          <t>4/13</t>
        </is>
      </c>
      <c r="M9" t="n">
        <v>30.77</v>
      </c>
      <c r="N9" t="inlineStr">
        <is>
          <t>2/13</t>
        </is>
      </c>
      <c r="O9" t="n">
        <v>15.38</v>
      </c>
      <c r="P9" t="inlineStr">
        <is>
          <t>2/13</t>
        </is>
      </c>
      <c r="Q9" t="n">
        <v>15.38</v>
      </c>
      <c r="R9" t="inlineStr">
        <is>
          <t>2/13</t>
        </is>
      </c>
      <c r="S9" t="n">
        <v>15.38</v>
      </c>
      <c r="T9" t="inlineStr">
        <is>
          <t>1/1</t>
        </is>
      </c>
      <c r="U9" t="n">
        <v>100</v>
      </c>
      <c r="V9" t="inlineStr">
        <is>
          <t>1/1</t>
        </is>
      </c>
      <c r="W9" t="n">
        <v>100</v>
      </c>
      <c r="X9" t="n">
        <v>1671</v>
      </c>
      <c r="Y9" t="n">
        <v>141</v>
      </c>
      <c r="Z9" t="n">
        <v>1812</v>
      </c>
      <c r="AA9" t="n">
        <v>119</v>
      </c>
      <c r="AB9" t="n">
        <v>10</v>
      </c>
      <c r="AC9" t="n">
        <v>137</v>
      </c>
      <c r="AD9" t="n">
        <v>2</v>
      </c>
      <c r="AE9" t="n">
        <v>0</v>
      </c>
      <c r="AF9" t="n">
        <v>2</v>
      </c>
      <c r="AG9" t="n">
        <v>128.54</v>
      </c>
      <c r="AH9" t="n">
        <v>10.85</v>
      </c>
      <c r="AI9" t="n">
        <v>10.85</v>
      </c>
      <c r="AJ9" t="n">
        <v>10.54</v>
      </c>
      <c r="AK9" t="n">
        <v>0.77</v>
      </c>
      <c r="AL9" t="n">
        <v>0.77</v>
      </c>
      <c r="AM9" t="n">
        <v>0.15</v>
      </c>
      <c r="AN9" t="n">
        <v>0</v>
      </c>
      <c r="AO9" t="n">
        <v>0.15</v>
      </c>
      <c r="AP9" t="n">
        <v>128.38</v>
      </c>
      <c r="AQ9" s="18" t="n">
        <v>6806670000</v>
      </c>
      <c r="AR9" s="18" t="n">
        <v>7125976217.8</v>
      </c>
      <c r="AS9" t="inlineStr">
        <is>
          <t>7/13</t>
        </is>
      </c>
      <c r="AT9" t="n">
        <v>53.85</v>
      </c>
      <c r="AU9" t="inlineStr">
        <is>
          <t>7/13</t>
        </is>
      </c>
      <c r="AV9" t="n">
        <v>53.85</v>
      </c>
      <c r="AW9" s="18" t="n">
        <v>6806670000</v>
      </c>
      <c r="AX9" s="18" t="n">
        <v>7125976217.8</v>
      </c>
      <c r="AY9" s="18" t="n">
        <v>319306217.8000002</v>
      </c>
      <c r="AZ9" t="n">
        <v>104.69</v>
      </c>
      <c r="BA9">
        <f>HYPERLINK("https://github.com/lottpicker/daily1689/blob/main/summary-v84.txt", "Click view")</f>
        <v/>
      </c>
    </row>
    <row r="10">
      <c r="A10" t="n">
        <v>85</v>
      </c>
      <c r="B10" t="inlineStr">
        <is>
          <t>38,54,70,96,146,168,192,266,290,340,392,430,462</t>
        </is>
      </c>
      <c r="C10" t="inlineStr">
        <is>
          <t>13</t>
        </is>
      </c>
      <c r="D10" t="n">
        <v>116</v>
      </c>
      <c r="E10" s="18" t="n">
        <v>1088868717.8</v>
      </c>
      <c r="F10" t="n">
        <v>1951</v>
      </c>
      <c r="G10" t="n">
        <v>159</v>
      </c>
      <c r="H10" t="inlineStr">
        <is>
          <t>6/13</t>
        </is>
      </c>
      <c r="I10" t="n">
        <v>46.15</v>
      </c>
      <c r="J10" t="inlineStr">
        <is>
          <t>6/13</t>
        </is>
      </c>
      <c r="K10" t="n">
        <v>46.15</v>
      </c>
      <c r="L10" t="inlineStr">
        <is>
          <t>5/13</t>
        </is>
      </c>
      <c r="M10" t="n">
        <v>38.46</v>
      </c>
      <c r="N10" t="inlineStr">
        <is>
          <t>4/13</t>
        </is>
      </c>
      <c r="O10" t="n">
        <v>30.77</v>
      </c>
      <c r="P10" t="inlineStr">
        <is>
          <t>3/13</t>
        </is>
      </c>
      <c r="Q10" t="n">
        <v>23.08</v>
      </c>
      <c r="R10" t="inlineStr">
        <is>
          <t>3/13</t>
        </is>
      </c>
      <c r="S10" t="n">
        <v>23.08</v>
      </c>
      <c r="T10" t="inlineStr">
        <is>
          <t>1/1</t>
        </is>
      </c>
      <c r="U10" t="n">
        <v>100</v>
      </c>
      <c r="V10" t="inlineStr">
        <is>
          <t>1/1</t>
        </is>
      </c>
      <c r="W10" t="n">
        <v>100</v>
      </c>
      <c r="X10" t="n">
        <v>1668</v>
      </c>
      <c r="Y10" t="n">
        <v>144</v>
      </c>
      <c r="Z10" t="n">
        <v>1812</v>
      </c>
      <c r="AA10" t="n">
        <v>114</v>
      </c>
      <c r="AB10" t="n">
        <v>15</v>
      </c>
      <c r="AC10" t="n">
        <v>137</v>
      </c>
      <c r="AD10" t="n">
        <v>2</v>
      </c>
      <c r="AE10" t="n">
        <v>0</v>
      </c>
      <c r="AF10" t="n">
        <v>2</v>
      </c>
      <c r="AG10" t="n">
        <v>128.31</v>
      </c>
      <c r="AH10" t="n">
        <v>11.08</v>
      </c>
      <c r="AI10" t="n">
        <v>11.08</v>
      </c>
      <c r="AJ10" t="n">
        <v>10.54</v>
      </c>
      <c r="AK10" t="n">
        <v>1.15</v>
      </c>
      <c r="AL10" t="n">
        <v>1.15</v>
      </c>
      <c r="AM10" t="n">
        <v>0.15</v>
      </c>
      <c r="AN10" t="n">
        <v>0</v>
      </c>
      <c r="AO10" t="n">
        <v>0.15</v>
      </c>
      <c r="AP10" t="n">
        <v>127.77</v>
      </c>
      <c r="AQ10" s="18" t="n">
        <v>6806670000</v>
      </c>
      <c r="AR10" s="18" t="n">
        <v>7895538717.8</v>
      </c>
      <c r="AS10" t="inlineStr">
        <is>
          <t>6/13</t>
        </is>
      </c>
      <c r="AT10" t="n">
        <v>46.15</v>
      </c>
      <c r="AU10" t="inlineStr">
        <is>
          <t>6/13</t>
        </is>
      </c>
      <c r="AV10" t="n">
        <v>46.15</v>
      </c>
      <c r="AW10" s="18" t="n">
        <v>6806670000</v>
      </c>
      <c r="AX10" s="18" t="n">
        <v>7895538717.8</v>
      </c>
      <c r="AY10" s="18" t="n">
        <v>1088868717.8</v>
      </c>
      <c r="AZ10" t="n">
        <v>116</v>
      </c>
      <c r="BA10">
        <f>HYPERLINK("https://github.com/lottpicker/daily1689/blob/main/summary-v85.txt", "Click view")</f>
        <v/>
      </c>
    </row>
    <row r="11">
      <c r="A11" t="n">
        <v>86</v>
      </c>
      <c r="B11" t="inlineStr">
        <is>
          <t>38,54,70,96,146,168,192,266,290,340,392,430,462</t>
        </is>
      </c>
      <c r="C11" t="inlineStr">
        <is>
          <t>13</t>
        </is>
      </c>
      <c r="D11" t="n">
        <v>105.01</v>
      </c>
      <c r="E11" s="18" t="n">
        <v>340824767.8000002</v>
      </c>
      <c r="F11" t="n">
        <v>1964</v>
      </c>
      <c r="G11" t="n">
        <v>172</v>
      </c>
      <c r="H11" t="inlineStr">
        <is>
          <t>5/13</t>
        </is>
      </c>
      <c r="I11" t="n">
        <v>38.46</v>
      </c>
      <c r="J11" t="inlineStr">
        <is>
          <t>7/13</t>
        </is>
      </c>
      <c r="K11" t="n">
        <v>53.85</v>
      </c>
      <c r="L11" t="inlineStr">
        <is>
          <t>4/13</t>
        </is>
      </c>
      <c r="M11" t="n">
        <v>30.77</v>
      </c>
      <c r="N11" t="inlineStr">
        <is>
          <t>4/13</t>
        </is>
      </c>
      <c r="O11" t="n">
        <v>30.77</v>
      </c>
      <c r="P11" t="inlineStr">
        <is>
          <t>4/13</t>
        </is>
      </c>
      <c r="Q11" t="n">
        <v>30.77</v>
      </c>
      <c r="R11" t="inlineStr">
        <is>
          <t>2/13</t>
        </is>
      </c>
      <c r="S11" t="n">
        <v>15.38</v>
      </c>
      <c r="T11" t="inlineStr">
        <is>
          <t>1/1</t>
        </is>
      </c>
      <c r="U11" t="n">
        <v>100</v>
      </c>
      <c r="V11" t="inlineStr">
        <is>
          <t>1/1</t>
        </is>
      </c>
      <c r="W11" t="n">
        <v>100</v>
      </c>
      <c r="X11" t="n">
        <v>1670</v>
      </c>
      <c r="Y11" t="n">
        <v>159</v>
      </c>
      <c r="Z11" t="n">
        <v>1829</v>
      </c>
      <c r="AA11" t="n">
        <v>112</v>
      </c>
      <c r="AB11" t="n">
        <v>13</v>
      </c>
      <c r="AC11" t="n">
        <v>133</v>
      </c>
      <c r="AD11" t="n">
        <v>2</v>
      </c>
      <c r="AE11" t="n">
        <v>0</v>
      </c>
      <c r="AF11" t="n">
        <v>2</v>
      </c>
      <c r="AG11" t="n">
        <v>128.46</v>
      </c>
      <c r="AH11" t="n">
        <v>12.23</v>
      </c>
      <c r="AI11" t="n">
        <v>12.23</v>
      </c>
      <c r="AJ11" t="n">
        <v>10.23</v>
      </c>
      <c r="AK11" t="n">
        <v>1</v>
      </c>
      <c r="AL11" t="n">
        <v>1</v>
      </c>
      <c r="AM11" t="n">
        <v>0.15</v>
      </c>
      <c r="AN11" t="n">
        <v>0</v>
      </c>
      <c r="AO11" t="n">
        <v>0.15</v>
      </c>
      <c r="AP11" t="n">
        <v>126.77</v>
      </c>
      <c r="AQ11" s="18" t="n">
        <v>6806670000</v>
      </c>
      <c r="AR11" s="18" t="n">
        <v>7147494767.8</v>
      </c>
      <c r="AS11" t="inlineStr">
        <is>
          <t>7/13</t>
        </is>
      </c>
      <c r="AT11" t="n">
        <v>53.85</v>
      </c>
      <c r="AU11" t="inlineStr">
        <is>
          <t>7/13</t>
        </is>
      </c>
      <c r="AV11" t="n">
        <v>53.85</v>
      </c>
      <c r="AW11" s="18" t="n">
        <v>6806670000</v>
      </c>
      <c r="AX11" s="18" t="n">
        <v>7147494767.8</v>
      </c>
      <c r="AY11" s="18" t="n">
        <v>340824767.8000002</v>
      </c>
      <c r="AZ11" t="n">
        <v>105.01</v>
      </c>
      <c r="BA11">
        <f>HYPERLINK("https://github.com/lottpicker/daily1689/blob/main/summary-v86.txt", "Click view")</f>
        <v/>
      </c>
    </row>
    <row r="12">
      <c r="A12" t="n">
        <v>87</v>
      </c>
      <c r="B12" t="inlineStr">
        <is>
          <t>38,54,70,96,146,168,192,266,290,340,392,430,462</t>
        </is>
      </c>
      <c r="C12" t="inlineStr">
        <is>
          <t>13</t>
        </is>
      </c>
      <c r="D12" t="n">
        <v>93.45</v>
      </c>
      <c r="E12" s="18" t="n">
        <v>-445558020</v>
      </c>
      <c r="F12" t="n">
        <v>1964</v>
      </c>
      <c r="G12" t="n">
        <v>157</v>
      </c>
      <c r="H12" t="inlineStr">
        <is>
          <t>6/13</t>
        </is>
      </c>
      <c r="I12" t="n">
        <v>46.15</v>
      </c>
      <c r="J12" t="inlineStr">
        <is>
          <t>5/13</t>
        </is>
      </c>
      <c r="K12" t="n">
        <v>38.46</v>
      </c>
      <c r="L12" t="inlineStr">
        <is>
          <t>3/13</t>
        </is>
      </c>
      <c r="M12" t="n">
        <v>23.08</v>
      </c>
      <c r="N12" t="inlineStr">
        <is>
          <t>2/13</t>
        </is>
      </c>
      <c r="O12" t="n">
        <v>15.38</v>
      </c>
      <c r="P12" t="inlineStr">
        <is>
          <t>1/13</t>
        </is>
      </c>
      <c r="Q12" t="n">
        <v>7.69</v>
      </c>
      <c r="R12" t="inlineStr">
        <is>
          <t>1/13</t>
        </is>
      </c>
      <c r="S12" t="n">
        <v>7.69</v>
      </c>
      <c r="T12" t="inlineStr">
        <is>
          <t>1/1</t>
        </is>
      </c>
      <c r="U12" t="n">
        <v>100</v>
      </c>
      <c r="V12" t="inlineStr">
        <is>
          <t>1/1</t>
        </is>
      </c>
      <c r="W12" t="n">
        <v>100</v>
      </c>
      <c r="X12" t="n">
        <v>1683</v>
      </c>
      <c r="Y12" t="n">
        <v>146</v>
      </c>
      <c r="Z12" t="n">
        <v>1829</v>
      </c>
      <c r="AA12" t="n">
        <v>114</v>
      </c>
      <c r="AB12" t="n">
        <v>11</v>
      </c>
      <c r="AC12" t="n">
        <v>133</v>
      </c>
      <c r="AD12" t="n">
        <v>2</v>
      </c>
      <c r="AE12" t="n">
        <v>0</v>
      </c>
      <c r="AF12" t="n">
        <v>2</v>
      </c>
      <c r="AG12" t="n">
        <v>129.46</v>
      </c>
      <c r="AH12" t="n">
        <v>11.23</v>
      </c>
      <c r="AI12" t="n">
        <v>11.23</v>
      </c>
      <c r="AJ12" t="n">
        <v>10.23</v>
      </c>
      <c r="AK12" t="n">
        <v>0.85</v>
      </c>
      <c r="AL12" t="n">
        <v>0.85</v>
      </c>
      <c r="AM12" t="n">
        <v>0.15</v>
      </c>
      <c r="AN12" t="n">
        <v>0</v>
      </c>
      <c r="AO12" t="n">
        <v>0.15</v>
      </c>
      <c r="AP12" t="n">
        <v>127.92</v>
      </c>
      <c r="AQ12" s="18" t="n">
        <v>6806670000</v>
      </c>
      <c r="AR12" s="18" t="n">
        <v>6361111980</v>
      </c>
      <c r="AS12" t="inlineStr">
        <is>
          <t>5/13</t>
        </is>
      </c>
      <c r="AT12" t="n">
        <v>38.46</v>
      </c>
      <c r="AU12" t="inlineStr">
        <is>
          <t>5/13</t>
        </is>
      </c>
      <c r="AV12" t="n">
        <v>38.46</v>
      </c>
      <c r="AW12" s="18" t="n">
        <v>6806670000</v>
      </c>
      <c r="AX12" s="18" t="n">
        <v>6361111980</v>
      </c>
      <c r="AY12" s="18" t="n">
        <v>-445558020</v>
      </c>
      <c r="AZ12" t="n">
        <v>93.45</v>
      </c>
      <c r="BA12">
        <f>HYPERLINK("https://github.com/lottpicker/daily1689/blob/main/summary-v87.txt", "Click view")</f>
        <v/>
      </c>
    </row>
    <row r="13">
      <c r="A13" t="n">
        <v>88</v>
      </c>
      <c r="B13" t="inlineStr">
        <is>
          <t>38,54,70,96,146,168,192,266,290,340,392,430,462</t>
        </is>
      </c>
      <c r="C13" t="inlineStr">
        <is>
          <t>13</t>
        </is>
      </c>
      <c r="D13" t="n">
        <v>108.64</v>
      </c>
      <c r="E13" s="18" t="n">
        <v>588391055.6000004</v>
      </c>
      <c r="F13" t="n">
        <v>1964</v>
      </c>
      <c r="G13" t="n">
        <v>196</v>
      </c>
      <c r="H13" t="inlineStr">
        <is>
          <t>7/13</t>
        </is>
      </c>
      <c r="I13" t="n">
        <v>53.85</v>
      </c>
      <c r="J13" t="inlineStr">
        <is>
          <t>5/13</t>
        </is>
      </c>
      <c r="K13" t="n">
        <v>38.46</v>
      </c>
      <c r="L13" t="inlineStr">
        <is>
          <t>4/13</t>
        </is>
      </c>
      <c r="M13" t="n">
        <v>30.77</v>
      </c>
      <c r="N13" t="inlineStr">
        <is>
          <t>4/13</t>
        </is>
      </c>
      <c r="O13" t="n">
        <v>30.77</v>
      </c>
      <c r="P13" t="inlineStr">
        <is>
          <t>4/13</t>
        </is>
      </c>
      <c r="Q13" t="n">
        <v>30.77</v>
      </c>
      <c r="R13" t="inlineStr">
        <is>
          <t>2/13</t>
        </is>
      </c>
      <c r="S13" t="n">
        <v>15.38</v>
      </c>
      <c r="T13" t="inlineStr">
        <is>
          <t>1/1</t>
        </is>
      </c>
      <c r="U13" t="n">
        <v>100</v>
      </c>
      <c r="V13" t="inlineStr">
        <is>
          <t>1/1</t>
        </is>
      </c>
      <c r="W13" t="n">
        <v>100</v>
      </c>
      <c r="X13" t="n">
        <v>1645</v>
      </c>
      <c r="Y13" t="n">
        <v>184</v>
      </c>
      <c r="Z13" t="n">
        <v>1829</v>
      </c>
      <c r="AA13" t="n">
        <v>113</v>
      </c>
      <c r="AB13" t="n">
        <v>12</v>
      </c>
      <c r="AC13" t="n">
        <v>133</v>
      </c>
      <c r="AD13" t="n">
        <v>2</v>
      </c>
      <c r="AE13" t="n">
        <v>0</v>
      </c>
      <c r="AF13" t="n">
        <v>2</v>
      </c>
      <c r="AG13" t="n">
        <v>126.54</v>
      </c>
      <c r="AH13" t="n">
        <v>14.15</v>
      </c>
      <c r="AI13" t="n">
        <v>14.15</v>
      </c>
      <c r="AJ13" t="n">
        <v>10.23</v>
      </c>
      <c r="AK13" t="n">
        <v>0.92</v>
      </c>
      <c r="AL13" t="n">
        <v>0.92</v>
      </c>
      <c r="AM13" t="n">
        <v>0.15</v>
      </c>
      <c r="AN13" t="n">
        <v>0</v>
      </c>
      <c r="AO13" t="n">
        <v>0.15</v>
      </c>
      <c r="AP13" t="n">
        <v>124.92</v>
      </c>
      <c r="AQ13" s="18" t="n">
        <v>6806670000</v>
      </c>
      <c r="AR13" s="18" t="n">
        <v>7395061055.6</v>
      </c>
      <c r="AS13" t="inlineStr">
        <is>
          <t>5/13</t>
        </is>
      </c>
      <c r="AT13" t="n">
        <v>38.46</v>
      </c>
      <c r="AU13" t="inlineStr">
        <is>
          <t>5/13</t>
        </is>
      </c>
      <c r="AV13" t="n">
        <v>38.46</v>
      </c>
      <c r="AW13" s="18" t="n">
        <v>6806670000</v>
      </c>
      <c r="AX13" s="18" t="n">
        <v>7395061055.6</v>
      </c>
      <c r="AY13" s="18" t="n">
        <v>588391055.6000004</v>
      </c>
      <c r="AZ13" t="n">
        <v>108.64</v>
      </c>
      <c r="BA13">
        <f>HYPERLINK("https://github.com/lottpicker/daily1689/blob/main/summary-v88.txt", "Click view")</f>
        <v/>
      </c>
    </row>
    <row r="14">
      <c r="A14" s="18" t="n">
        <v>16</v>
      </c>
    </row>
    <row r="15">
      <c r="A15" s="18" t="n">
        <v>89</v>
      </c>
      <c r="B15" t="inlineStr">
        <is>
          <t>38,54,70,96,146,168,192,266,290,340,392,430,462</t>
        </is>
      </c>
      <c r="C15" t="inlineStr">
        <is>
          <t>13</t>
        </is>
      </c>
      <c r="D15" t="n">
        <v>142.09</v>
      </c>
      <c r="E15" t="n">
        <v>2865123767.799999</v>
      </c>
      <c r="F15" t="n">
        <v>1980</v>
      </c>
      <c r="G15" t="n">
        <v>179</v>
      </c>
      <c r="H15" t="inlineStr">
        <is>
          <t>7/13</t>
        </is>
      </c>
      <c r="I15" t="n">
        <v>53.85</v>
      </c>
      <c r="J15" t="inlineStr">
        <is>
          <t>6/13</t>
        </is>
      </c>
      <c r="K15" t="n">
        <v>46.15</v>
      </c>
      <c r="L15" t="inlineStr">
        <is>
          <t>5/13</t>
        </is>
      </c>
      <c r="M15" t="n">
        <v>38.46</v>
      </c>
      <c r="N15" t="inlineStr">
        <is>
          <t>5/13</t>
        </is>
      </c>
      <c r="O15" t="n">
        <v>38.46</v>
      </c>
      <c r="P15" t="inlineStr">
        <is>
          <t>4/13</t>
        </is>
      </c>
      <c r="Q15" t="n">
        <v>30.77</v>
      </c>
      <c r="R15" t="inlineStr">
        <is>
          <t>4/13</t>
        </is>
      </c>
      <c r="S15" t="n">
        <v>30.77</v>
      </c>
      <c r="T15" t="inlineStr">
        <is>
          <t>1/1</t>
        </is>
      </c>
      <c r="U15" t="n">
        <v>100</v>
      </c>
      <c r="V15" t="inlineStr">
        <is>
          <t>1/1</t>
        </is>
      </c>
      <c r="W15" t="n">
        <v>100</v>
      </c>
      <c r="X15" t="n">
        <v>1672</v>
      </c>
      <c r="Y15" t="n">
        <v>169</v>
      </c>
      <c r="Z15" t="n">
        <v>1841</v>
      </c>
      <c r="AA15" t="n">
        <v>105</v>
      </c>
      <c r="AB15" t="n">
        <v>9</v>
      </c>
      <c r="AC15" t="n">
        <v>134</v>
      </c>
      <c r="AD15" t="n">
        <v>4</v>
      </c>
      <c r="AE15" t="n">
        <v>1</v>
      </c>
      <c r="AF15" t="n">
        <v>5</v>
      </c>
      <c r="AG15" t="n">
        <v>128.62</v>
      </c>
      <c r="AH15" t="n">
        <v>13</v>
      </c>
      <c r="AI15" t="n">
        <v>13</v>
      </c>
      <c r="AJ15" t="n">
        <v>10.31</v>
      </c>
      <c r="AK15" t="n">
        <v>0.6899999999999999</v>
      </c>
      <c r="AL15" t="n">
        <v>0.6899999999999999</v>
      </c>
      <c r="AM15" t="n">
        <v>0.31</v>
      </c>
      <c r="AN15" t="n">
        <v>0.08</v>
      </c>
      <c r="AO15" t="n">
        <v>0.38</v>
      </c>
      <c r="AP15" t="n">
        <v>126.23</v>
      </c>
      <c r="AQ15" t="n">
        <v>6806670000</v>
      </c>
      <c r="AR15" t="n">
        <v>9671793767.799999</v>
      </c>
      <c r="AS15" t="inlineStr">
        <is>
          <t>6/13</t>
        </is>
      </c>
      <c r="AT15" t="n">
        <v>46.15</v>
      </c>
      <c r="AU15" t="inlineStr">
        <is>
          <t>6/13</t>
        </is>
      </c>
      <c r="AV15" t="n">
        <v>46.15</v>
      </c>
      <c r="AW15" t="n">
        <v>6806670000</v>
      </c>
      <c r="AX15" t="n">
        <v>9671793767.799999</v>
      </c>
      <c r="AY15" t="n">
        <v>2865123767.799999</v>
      </c>
      <c r="AZ15" t="n">
        <v>142.09</v>
      </c>
      <c r="BA15">
        <f>HYPERLINK("https://github.com/lottpicker/daily1689/blob/main/summary-v89.txt", "Click view")</f>
        <v/>
      </c>
    </row>
    <row r="16">
      <c r="A16" s="18" t="n">
        <v>90</v>
      </c>
      <c r="B16" t="inlineStr">
        <is>
          <t>38,54,70,96,146,168,192,266,290,340,392,430,462</t>
        </is>
      </c>
      <c r="C16" t="inlineStr">
        <is>
          <t>13</t>
        </is>
      </c>
      <c r="D16" t="n">
        <v>135.88</v>
      </c>
      <c r="E16" t="n">
        <v>2441951410</v>
      </c>
      <c r="F16" t="n">
        <v>1980</v>
      </c>
      <c r="G16" t="n">
        <v>154</v>
      </c>
      <c r="H16" t="inlineStr">
        <is>
          <t>4/13</t>
        </is>
      </c>
      <c r="I16" t="n">
        <v>30.77</v>
      </c>
      <c r="J16" t="inlineStr">
        <is>
          <t>9/13</t>
        </is>
      </c>
      <c r="K16" t="n">
        <v>69.23</v>
      </c>
      <c r="L16" t="inlineStr">
        <is>
          <t>4/13</t>
        </is>
      </c>
      <c r="M16" t="n">
        <v>30.77</v>
      </c>
      <c r="N16" t="inlineStr">
        <is>
          <t>4/13</t>
        </is>
      </c>
      <c r="O16" t="n">
        <v>30.77</v>
      </c>
      <c r="P16" t="inlineStr">
        <is>
          <t>4/13</t>
        </is>
      </c>
      <c r="Q16" t="n">
        <v>30.77</v>
      </c>
      <c r="R16" t="inlineStr">
        <is>
          <t>3/13</t>
        </is>
      </c>
      <c r="S16" t="n">
        <v>23.08</v>
      </c>
      <c r="T16" t="inlineStr">
        <is>
          <t>1/1</t>
        </is>
      </c>
      <c r="U16" t="n">
        <v>100</v>
      </c>
      <c r="V16" t="inlineStr">
        <is>
          <t>1/1</t>
        </is>
      </c>
      <c r="W16" t="n">
        <v>100</v>
      </c>
      <c r="X16" t="n">
        <v>1703</v>
      </c>
      <c r="Y16" t="n">
        <v>138</v>
      </c>
      <c r="Z16" t="n">
        <v>1841</v>
      </c>
      <c r="AA16" t="n">
        <v>99</v>
      </c>
      <c r="AB16" t="n">
        <v>15</v>
      </c>
      <c r="AC16" t="n">
        <v>134</v>
      </c>
      <c r="AD16" t="n">
        <v>4</v>
      </c>
      <c r="AE16" t="n">
        <v>1</v>
      </c>
      <c r="AF16" t="n">
        <v>5</v>
      </c>
      <c r="AG16" t="n">
        <v>131</v>
      </c>
      <c r="AH16" t="n">
        <v>10.62</v>
      </c>
      <c r="AI16" t="n">
        <v>10.62</v>
      </c>
      <c r="AJ16" t="n">
        <v>10.31</v>
      </c>
      <c r="AK16" t="n">
        <v>1.15</v>
      </c>
      <c r="AL16" t="n">
        <v>1.15</v>
      </c>
      <c r="AM16" t="n">
        <v>0.31</v>
      </c>
      <c r="AN16" t="n">
        <v>0.08</v>
      </c>
      <c r="AO16" t="n">
        <v>0.38</v>
      </c>
      <c r="AP16" t="n">
        <v>128.15</v>
      </c>
      <c r="AQ16" t="n">
        <v>6806670000</v>
      </c>
      <c r="AR16" t="n">
        <v>9248621410</v>
      </c>
      <c r="AS16" t="inlineStr">
        <is>
          <t>9/13</t>
        </is>
      </c>
      <c r="AT16" t="n">
        <v>69.23</v>
      </c>
      <c r="AU16" t="inlineStr">
        <is>
          <t>9/13</t>
        </is>
      </c>
      <c r="AV16" t="n">
        <v>69.23</v>
      </c>
      <c r="AW16" t="n">
        <v>6806670000</v>
      </c>
      <c r="AX16" t="n">
        <v>9248621410</v>
      </c>
      <c r="AY16" t="n">
        <v>2441951410</v>
      </c>
      <c r="AZ16" t="n">
        <v>135.88</v>
      </c>
      <c r="BA16">
        <f>HYPERLINK("https://github.com/lottpicker/daily1689/blob/main/summary-v90.txt", "Click view")</f>
        <v/>
      </c>
    </row>
    <row r="17">
      <c r="A17" s="18" t="n">
        <v>91</v>
      </c>
      <c r="B17" t="inlineStr">
        <is>
          <t>38,54,70,96,146,168,192,266,290,340,392,430,462</t>
        </is>
      </c>
      <c r="C17" t="inlineStr">
        <is>
          <t>13</t>
        </is>
      </c>
      <c r="D17" t="n">
        <v>121.92</v>
      </c>
      <c r="E17" t="n">
        <v>1491952960</v>
      </c>
      <c r="F17" t="n">
        <v>1980</v>
      </c>
      <c r="G17" t="n">
        <v>145</v>
      </c>
      <c r="H17" t="inlineStr">
        <is>
          <t>8/13</t>
        </is>
      </c>
      <c r="I17" t="n">
        <v>61.54</v>
      </c>
      <c r="J17" t="inlineStr">
        <is>
          <t>4/13</t>
        </is>
      </c>
      <c r="K17" t="n">
        <v>30.77</v>
      </c>
      <c r="L17" t="inlineStr">
        <is>
          <t>4/13</t>
        </is>
      </c>
      <c r="M17" t="n">
        <v>30.77</v>
      </c>
      <c r="N17" t="inlineStr">
        <is>
          <t>3/13</t>
        </is>
      </c>
      <c r="O17" t="n">
        <v>23.08</v>
      </c>
      <c r="P17" t="inlineStr">
        <is>
          <t>3/13</t>
        </is>
      </c>
      <c r="Q17" t="n">
        <v>23.08</v>
      </c>
      <c r="R17" t="inlineStr">
        <is>
          <t>3/13</t>
        </is>
      </c>
      <c r="S17" t="n">
        <v>23.08</v>
      </c>
      <c r="T17" t="inlineStr">
        <is>
          <t>1/1</t>
        </is>
      </c>
      <c r="U17" t="n">
        <v>100</v>
      </c>
      <c r="V17" t="inlineStr">
        <is>
          <t>1/1</t>
        </is>
      </c>
      <c r="W17" t="n">
        <v>100</v>
      </c>
      <c r="X17" t="n">
        <v>1703</v>
      </c>
      <c r="Y17" t="n">
        <v>138</v>
      </c>
      <c r="Z17" t="n">
        <v>1841</v>
      </c>
      <c r="AA17" t="n">
        <v>107</v>
      </c>
      <c r="AB17" t="n">
        <v>7</v>
      </c>
      <c r="AC17" t="n">
        <v>134</v>
      </c>
      <c r="AD17" t="n">
        <v>5</v>
      </c>
      <c r="AE17" t="n">
        <v>0</v>
      </c>
      <c r="AF17" t="n">
        <v>5</v>
      </c>
      <c r="AG17" t="n">
        <v>131</v>
      </c>
      <c r="AH17" t="n">
        <v>10.62</v>
      </c>
      <c r="AI17" t="n">
        <v>10.62</v>
      </c>
      <c r="AJ17" t="n">
        <v>10.31</v>
      </c>
      <c r="AK17" t="n">
        <v>0.54</v>
      </c>
      <c r="AL17" t="n">
        <v>0.54</v>
      </c>
      <c r="AM17" t="n">
        <v>0.38</v>
      </c>
      <c r="AN17" t="n">
        <v>0</v>
      </c>
      <c r="AO17" t="n">
        <v>0.38</v>
      </c>
      <c r="AP17" t="n">
        <v>128.85</v>
      </c>
      <c r="AQ17" t="n">
        <v>6806670000</v>
      </c>
      <c r="AR17" t="n">
        <v>8298622960</v>
      </c>
      <c r="AS17" t="inlineStr">
        <is>
          <t>4/13</t>
        </is>
      </c>
      <c r="AT17" t="n">
        <v>30.77</v>
      </c>
      <c r="AU17" t="inlineStr">
        <is>
          <t>4/13</t>
        </is>
      </c>
      <c r="AV17" t="n">
        <v>30.77</v>
      </c>
      <c r="AW17" t="n">
        <v>6806670000</v>
      </c>
      <c r="AX17" t="n">
        <v>8298622960</v>
      </c>
      <c r="AY17" t="n">
        <v>1491952960</v>
      </c>
      <c r="AZ17" t="n">
        <v>121.92</v>
      </c>
      <c r="BA17">
        <f>HYPERLINK("https://github.com/lottpicker/daily1689/blob/main/summary-v91.txt", "Click view")</f>
        <v/>
      </c>
    </row>
    <row r="18">
      <c r="A18" s="18" t="n">
        <v>92</v>
      </c>
    </row>
    <row r="19">
      <c r="A19" s="18" t="n">
        <v>93</v>
      </c>
    </row>
    <row r="20">
      <c r="A20" s="18" t="n">
        <v>94</v>
      </c>
    </row>
    <row r="21">
      <c r="A21" s="18" t="n">
        <v>95</v>
      </c>
    </row>
    <row r="22">
      <c r="A22" s="18" t="n">
        <v>96</v>
      </c>
    </row>
    <row r="23">
      <c r="A23" s="18" t="n">
        <v>97</v>
      </c>
    </row>
    <row r="24">
      <c r="A24" s="18" t="n">
        <v>98</v>
      </c>
    </row>
    <row r="25">
      <c r="A25" s="18" t="n">
        <v>99</v>
      </c>
    </row>
    <row r="26">
      <c r="A26" s="18" t="n"/>
    </row>
    <row r="27">
      <c r="A27" s="18" t="n"/>
    </row>
    <row r="28">
      <c r="A28" s="18" t="n"/>
    </row>
    <row r="29">
      <c r="A29" s="18" t="n"/>
    </row>
    <row r="30">
      <c r="A30" s="18" t="n"/>
    </row>
    <row r="31">
      <c r="A31" s="18" t="n"/>
    </row>
    <row r="32">
      <c r="A32" s="18" t="n"/>
    </row>
    <row r="33">
      <c r="A33" s="18" t="n"/>
    </row>
    <row r="34">
      <c r="A34" s="18" t="n"/>
    </row>
    <row r="35">
      <c r="A35" s="18" t="n"/>
    </row>
    <row r="36">
      <c r="A36" s="18" t="n"/>
    </row>
    <row r="37">
      <c r="A37" s="18" t="n"/>
    </row>
    <row r="38">
      <c r="A38" s="18" t="n"/>
    </row>
    <row r="39">
      <c r="A39" s="18" t="n"/>
    </row>
    <row r="40">
      <c r="A40" s="18" t="n"/>
    </row>
    <row r="41">
      <c r="A41" s="18" t="n"/>
    </row>
    <row r="42">
      <c r="A42" s="18" t="n"/>
    </row>
    <row r="43">
      <c r="A43" s="18" t="n"/>
    </row>
    <row r="44">
      <c r="A44" s="18" t="n"/>
    </row>
    <row r="45">
      <c r="A45" s="18" t="n"/>
    </row>
    <row r="46">
      <c r="A46" s="18" t="n"/>
    </row>
    <row r="47">
      <c r="A47" s="18" t="n"/>
    </row>
    <row r="48">
      <c r="A48" s="18" t="n"/>
    </row>
    <row r="49">
      <c r="A49" s="18" t="n"/>
    </row>
  </sheetData>
  <autoFilter ref="A2:BD112">
    <sortState ref="A3:BD112">
      <sortCondition ref="A2:A112"/>
    </sortState>
  </autoFilter>
  <mergeCells count="2">
    <mergeCell ref="AG1:AP1"/>
    <mergeCell ref="T1:W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2026-02-23T07:55:03Z</dcterms:modified>
  <cp:lastModifiedBy>Admin</cp:lastModifiedBy>
</cp:coreProperties>
</file>