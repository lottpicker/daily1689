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D:\535\daily1689\"/>
    </mc:Choice>
  </mc:AlternateContent>
  <xr:revisionPtr revIDLastSave="0" documentId="13_ncr:1_{C30DCA12-CF8B-4664-9AE3-B4F7D7E2160E}" xr6:coauthVersionLast="41" xr6:coauthVersionMax="41" xr10:uidLastSave="{00000000-0000-0000-0000-000000000000}"/>
  <bookViews>
    <workbookView xWindow="-110" yWindow="-110" windowWidth="38620" windowHeight="21100" tabRatio="359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Sheet1!$A$2:$AM$53</definedName>
  </definedNames>
  <calcPr calcId="191029"/>
</workbook>
</file>

<file path=xl/calcChain.xml><?xml version="1.0" encoding="utf-8"?>
<calcChain xmlns="http://schemas.openxmlformats.org/spreadsheetml/2006/main">
  <c r="I2" i="2" l="1"/>
  <c r="G2" i="2"/>
  <c r="F2" i="2"/>
  <c r="I1" i="2"/>
  <c r="G1" i="2"/>
  <c r="F1" i="2"/>
</calcChain>
</file>

<file path=xl/sharedStrings.xml><?xml version="1.0" encoding="utf-8"?>
<sst xmlns="http://schemas.openxmlformats.org/spreadsheetml/2006/main" count="302" uniqueCount="89">
  <si>
    <t>Trung bình/Kỳ</t>
  </si>
  <si>
    <t>Trúng 3</t>
  </si>
  <si>
    <t>Trúng 4</t>
  </si>
  <si>
    <t>Trúng 5</t>
  </si>
  <si>
    <t>Kịch bản
#</t>
  </si>
  <si>
    <t>Từ-Đến</t>
  </si>
  <si>
    <t>Số kỳ</t>
  </si>
  <si>
    <t>% thu hồi</t>
  </si>
  <si>
    <t>Tất cả vé&gt;=3</t>
  </si>
  <si>
    <t>Tất cả  +1</t>
  </si>
  <si>
    <t>3+</t>
  </si>
  <si>
    <t>#3</t>
  </si>
  <si>
    <t>4+</t>
  </si>
  <si>
    <t>#4</t>
  </si>
  <si>
    <t>5+</t>
  </si>
  <si>
    <t>#5</t>
  </si>
  <si>
    <t>+</t>
  </si>
  <si>
    <t>Thu 
&lt;80%</t>
  </si>
  <si>
    <t>Tỉ lệ
&lt;80%</t>
  </si>
  <si>
    <t>Thu 
&gt;90%</t>
  </si>
  <si>
    <t>Tỉ lệ
&gt;90%</t>
  </si>
  <si>
    <t>Số chu kỳ 10 kỳ thu hồi
 &gt;=90%</t>
  </si>
  <si>
    <t>Tỉ lệ chu kỳ 10 kỳ 
thu hồi 
10 &gt;=90%</t>
  </si>
  <si>
    <t>Số chu kỳ 10 kỳ thu hồi
 &gt;=100%</t>
  </si>
  <si>
    <t>Tỉ lệ chu kỳ 10 kỳ 
thu hồi 
10 &gt;=100%</t>
  </si>
  <si>
    <t>Tổng  3</t>
  </si>
  <si>
    <t>Tổng 4</t>
  </si>
  <si>
    <t>Tổng 5</t>
  </si>
  <si>
    <t>Chi</t>
  </si>
  <si>
    <t>Thu</t>
  </si>
  <si>
    <t>Lãi/Lỗ</t>
  </si>
  <si>
    <t>200-369</t>
  </si>
  <si>
    <t>170</t>
  </si>
  <si>
    <t>51/170</t>
  </si>
  <si>
    <t>95/170</t>
  </si>
  <si>
    <t>14/17</t>
  </si>
  <si>
    <t>12/17</t>
  </si>
  <si>
    <t>57/170</t>
  </si>
  <si>
    <t>92/170</t>
  </si>
  <si>
    <t>15/17</t>
  </si>
  <si>
    <t>13/17</t>
  </si>
  <si>
    <t>50/170</t>
  </si>
  <si>
    <t>101/170</t>
  </si>
  <si>
    <t>17/17</t>
  </si>
  <si>
    <t>16/17</t>
  </si>
  <si>
    <t>100-350</t>
  </si>
  <si>
    <t>251</t>
  </si>
  <si>
    <t>88/251</t>
  </si>
  <si>
    <t>145/251</t>
  </si>
  <si>
    <t>22/25</t>
  </si>
  <si>
    <t>19/25</t>
  </si>
  <si>
    <t>59/170</t>
  </si>
  <si>
    <t>36/170</t>
  </si>
  <si>
    <t>106/170</t>
  </si>
  <si>
    <t>84/251</t>
  </si>
  <si>
    <t>48/170</t>
  </si>
  <si>
    <t>45/170</t>
  </si>
  <si>
    <t>97/170</t>
  </si>
  <si>
    <t>56/170</t>
  </si>
  <si>
    <t>85/170</t>
  </si>
  <si>
    <t>58/170</t>
  </si>
  <si>
    <t>65/170</t>
  </si>
  <si>
    <t>94/170</t>
  </si>
  <si>
    <t>60/170</t>
  </si>
  <si>
    <t>96/170</t>
  </si>
  <si>
    <t>10/17</t>
  </si>
  <si>
    <t>93/170</t>
  </si>
  <si>
    <t>53/170</t>
  </si>
  <si>
    <t>90/170</t>
  </si>
  <si>
    <t>62/170</t>
  </si>
  <si>
    <t>78/170</t>
  </si>
  <si>
    <t>11/17</t>
  </si>
  <si>
    <t>83/170</t>
  </si>
  <si>
    <t>49/170</t>
  </si>
  <si>
    <t>102/170</t>
  </si>
  <si>
    <t>107/170</t>
  </si>
  <si>
    <t>61/170</t>
  </si>
  <si>
    <t>54/170</t>
  </si>
  <si>
    <t>41/170</t>
  </si>
  <si>
    <t>44/170</t>
  </si>
  <si>
    <t>99/170</t>
  </si>
  <si>
    <t>47/170</t>
  </si>
  <si>
    <t>100/170</t>
  </si>
  <si>
    <t>86/170</t>
  </si>
  <si>
    <t>98/170</t>
  </si>
  <si>
    <t>52/170</t>
  </si>
  <si>
    <t>131421090000</t>
  </si>
  <si>
    <t>176344126840.0</t>
  </si>
  <si>
    <t>81/251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</si>
</sst>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1"/>
      <color theme="7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1" applyNumberFormat="1" applyFont="1" applyFill="1" applyAlignment="1">
      <alignment horizontal="center" vertical="center"/>
    </xf>
    <xf numFmtId="0" fontId="0" fillId="8" borderId="0" xfId="0" applyFill="1"/>
    <xf numFmtId="0" fontId="1" fillId="10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4" fontId="2" fillId="0" borderId="0" xfId="1" applyNumberFormat="1" applyAlignment="1">
      <alignment horizontal="right"/>
    </xf>
    <xf numFmtId="0" fontId="1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4" fillId="9" borderId="0" xfId="0" applyFont="1" applyFill="1"/>
    <xf numFmtId="0" fontId="0" fillId="0" borderId="0" xfId="0"/>
    <xf numFmtId="2" fontId="0" fillId="0" borderId="0" xfId="0" applyNumberFormat="1"/>
    <xf numFmtId="0" fontId="4" fillId="8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2" fontId="0" fillId="0" borderId="0" xfId="0" applyNumberFormat="1"/>
    <xf numFmtId="0" fontId="0" fillId="5" borderId="0" xfId="0" applyFill="1" applyAlignment="1">
      <alignment horizontal="center" vertical="center"/>
    </xf>
    <xf numFmtId="0" fontId="0" fillId="9" borderId="0" xfId="0" applyFill="1"/>
    <xf numFmtId="0" fontId="3" fillId="8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53"/>
  <sheetViews>
    <sheetView tabSelected="1" workbookViewId="0">
      <selection activeCell="X57" sqref="X57"/>
    </sheetView>
  </sheetViews>
  <sheetFormatPr defaultRowHeight="14.5" x14ac:dyDescent="0.35"/>
  <cols>
    <col min="2" max="2" width="9" style="16" customWidth="1"/>
    <col min="3" max="3" width="8.36328125" style="16" customWidth="1"/>
    <col min="4" max="4" width="16.453125" style="16" customWidth="1"/>
    <col min="5" max="5" width="11.6328125" style="16" customWidth="1"/>
    <col min="6" max="6" width="14.1796875" style="16" customWidth="1"/>
    <col min="7" max="7" width="8.453125" style="16" customWidth="1"/>
    <col min="8" max="15" width="6.453125" style="16" customWidth="1"/>
    <col min="16" max="16" width="8" style="16" customWidth="1"/>
    <col min="17" max="17" width="9" style="16" customWidth="1"/>
    <col min="18" max="20" width="9.1796875" style="16" customWidth="1"/>
    <col min="21" max="21" width="17.81640625" style="16" customWidth="1"/>
    <col min="22" max="24" width="16.90625" style="16" customWidth="1"/>
    <col min="25" max="29" width="9.26953125" style="16" customWidth="1"/>
    <col min="30" max="30" width="9.26953125" style="17" customWidth="1"/>
    <col min="31" max="33" width="9.26953125" style="16" customWidth="1"/>
    <col min="34" max="36" width="18.7265625" style="12" customWidth="1"/>
    <col min="37" max="39" width="6.54296875" style="16" customWidth="1"/>
  </cols>
  <sheetData>
    <row r="1" spans="1:38" x14ac:dyDescent="0.35">
      <c r="G1" s="24" t="s">
        <v>0</v>
      </c>
      <c r="H1" s="20"/>
      <c r="I1" s="20"/>
      <c r="J1" s="20"/>
      <c r="K1" s="20"/>
      <c r="L1" s="20"/>
      <c r="M1" s="20"/>
      <c r="N1" s="20"/>
      <c r="O1" s="20"/>
      <c r="P1" s="20"/>
      <c r="Y1" s="19" t="s">
        <v>1</v>
      </c>
      <c r="Z1" s="20"/>
      <c r="AA1" s="20"/>
      <c r="AB1" s="22" t="s">
        <v>2</v>
      </c>
      <c r="AC1" s="20"/>
      <c r="AD1" s="23"/>
      <c r="AE1" s="21" t="s">
        <v>3</v>
      </c>
      <c r="AF1" s="20"/>
      <c r="AG1" s="20"/>
    </row>
    <row r="2" spans="1:38" s="2" customFormat="1" ht="65.5" customHeight="1" x14ac:dyDescent="0.35">
      <c r="A2" s="5" t="s">
        <v>4</v>
      </c>
      <c r="B2" s="1" t="s">
        <v>5</v>
      </c>
      <c r="C2" s="1" t="s">
        <v>6</v>
      </c>
      <c r="D2" s="11" t="s">
        <v>7</v>
      </c>
      <c r="E2" s="1" t="s">
        <v>8</v>
      </c>
      <c r="F2" s="1" t="s">
        <v>9</v>
      </c>
      <c r="G2" s="3">
        <v>3</v>
      </c>
      <c r="H2" s="3" t="s">
        <v>10</v>
      </c>
      <c r="I2" s="3" t="s">
        <v>11</v>
      </c>
      <c r="J2" s="3">
        <v>4</v>
      </c>
      <c r="K2" s="3" t="s">
        <v>12</v>
      </c>
      <c r="L2" s="3" t="s">
        <v>13</v>
      </c>
      <c r="M2" s="3">
        <v>5</v>
      </c>
      <c r="N2" s="3" t="s">
        <v>14</v>
      </c>
      <c r="O2" s="3" t="s">
        <v>15</v>
      </c>
      <c r="P2" s="3" t="s">
        <v>16</v>
      </c>
      <c r="Q2" s="4" t="s">
        <v>17</v>
      </c>
      <c r="R2" s="4" t="s">
        <v>18</v>
      </c>
      <c r="S2" s="13" t="s">
        <v>19</v>
      </c>
      <c r="T2" s="13" t="s">
        <v>20</v>
      </c>
      <c r="U2" s="14" t="s">
        <v>21</v>
      </c>
      <c r="V2" s="14" t="s">
        <v>22</v>
      </c>
      <c r="W2" s="8" t="s">
        <v>23</v>
      </c>
      <c r="X2" s="8" t="s">
        <v>24</v>
      </c>
      <c r="Y2" s="9">
        <v>3</v>
      </c>
      <c r="Z2" s="9" t="s">
        <v>10</v>
      </c>
      <c r="AA2" s="9" t="s">
        <v>25</v>
      </c>
      <c r="AB2" s="9">
        <v>4</v>
      </c>
      <c r="AC2" s="9" t="s">
        <v>12</v>
      </c>
      <c r="AD2" s="10" t="s">
        <v>26</v>
      </c>
      <c r="AE2" s="9">
        <v>5</v>
      </c>
      <c r="AF2" s="9" t="s">
        <v>14</v>
      </c>
      <c r="AG2" s="9" t="s">
        <v>27</v>
      </c>
      <c r="AH2" s="6" t="s">
        <v>28</v>
      </c>
      <c r="AI2" s="6" t="s">
        <v>29</v>
      </c>
      <c r="AJ2" s="6" t="s">
        <v>30</v>
      </c>
    </row>
    <row r="3" spans="1:38" x14ac:dyDescent="0.35">
      <c r="A3">
        <v>15</v>
      </c>
      <c r="B3" t="s">
        <v>31</v>
      </c>
      <c r="C3" t="s">
        <v>32</v>
      </c>
      <c r="D3" s="25">
        <v>150.3886260548318</v>
      </c>
      <c r="E3">
        <v>24457</v>
      </c>
      <c r="F3">
        <v>2038</v>
      </c>
      <c r="G3">
        <v>122.6764705882353</v>
      </c>
      <c r="H3">
        <v>11.064705882352939</v>
      </c>
      <c r="I3">
        <v>11.064705882352939</v>
      </c>
      <c r="J3">
        <v>9.9176470588235297</v>
      </c>
      <c r="K3">
        <v>0.88823529411764701</v>
      </c>
      <c r="L3">
        <v>0.88823529411764701</v>
      </c>
      <c r="M3">
        <v>0.17058823529411771</v>
      </c>
      <c r="N3">
        <v>3.5294117647058823E-2</v>
      </c>
      <c r="O3">
        <v>0.20588235294117649</v>
      </c>
      <c r="P3">
        <v>122.11176470588239</v>
      </c>
      <c r="Q3" t="s">
        <v>52</v>
      </c>
      <c r="R3">
        <v>21.17647058823529</v>
      </c>
      <c r="S3" t="s">
        <v>53</v>
      </c>
      <c r="T3" s="15">
        <v>62.352941176470587</v>
      </c>
      <c r="U3" t="s">
        <v>44</v>
      </c>
      <c r="V3" s="18">
        <v>94.117647058823522</v>
      </c>
      <c r="W3" t="s">
        <v>44</v>
      </c>
      <c r="X3" s="15">
        <v>94.117647058823522</v>
      </c>
      <c r="Y3">
        <v>20855</v>
      </c>
      <c r="Z3">
        <v>1881</v>
      </c>
      <c r="AA3">
        <v>22736</v>
      </c>
      <c r="AB3">
        <v>1395</v>
      </c>
      <c r="AC3">
        <v>151</v>
      </c>
      <c r="AD3">
        <v>1686</v>
      </c>
      <c r="AE3">
        <v>29</v>
      </c>
      <c r="AF3">
        <v>6</v>
      </c>
      <c r="AG3">
        <v>35</v>
      </c>
      <c r="AH3">
        <v>84821580000</v>
      </c>
      <c r="AI3">
        <v>127562008760</v>
      </c>
      <c r="AJ3">
        <v>42740428760</v>
      </c>
      <c r="AK3"/>
      <c r="AL3"/>
    </row>
    <row r="4" spans="1:38" x14ac:dyDescent="0.35">
      <c r="A4">
        <v>40</v>
      </c>
      <c r="B4" t="s">
        <v>31</v>
      </c>
      <c r="C4" t="s">
        <v>32</v>
      </c>
      <c r="D4" s="16">
        <v>138.92447405755431</v>
      </c>
      <c r="E4">
        <v>23553</v>
      </c>
      <c r="F4">
        <v>1886</v>
      </c>
      <c r="G4">
        <v>118.4705882352941</v>
      </c>
      <c r="H4">
        <v>10.31764705882353</v>
      </c>
      <c r="I4">
        <v>10.31764705882353</v>
      </c>
      <c r="J4">
        <v>9.5588235294117645</v>
      </c>
      <c r="K4">
        <v>0.77058823529411768</v>
      </c>
      <c r="L4">
        <v>0.77058823529411768</v>
      </c>
      <c r="M4">
        <v>0.19411764705882351</v>
      </c>
      <c r="N4">
        <v>5.8823529411764714E-3</v>
      </c>
      <c r="O4">
        <v>0.2</v>
      </c>
      <c r="P4">
        <v>118.0647058823529</v>
      </c>
      <c r="Q4" t="s">
        <v>78</v>
      </c>
      <c r="R4">
        <v>24.117647058823529</v>
      </c>
      <c r="S4" t="s">
        <v>57</v>
      </c>
      <c r="T4" s="16">
        <v>57.058823529411761</v>
      </c>
      <c r="U4" t="s">
        <v>39</v>
      </c>
      <c r="V4" s="16">
        <v>88.235294117647058</v>
      </c>
      <c r="W4" t="s">
        <v>35</v>
      </c>
      <c r="X4" s="16">
        <v>82.35294117647058</v>
      </c>
      <c r="Y4">
        <v>20140</v>
      </c>
      <c r="Z4">
        <v>1754</v>
      </c>
      <c r="AA4">
        <v>21894</v>
      </c>
      <c r="AB4">
        <v>1358</v>
      </c>
      <c r="AC4">
        <v>131</v>
      </c>
      <c r="AD4">
        <v>1625</v>
      </c>
      <c r="AE4">
        <v>33</v>
      </c>
      <c r="AF4">
        <v>1</v>
      </c>
      <c r="AG4">
        <v>34</v>
      </c>
      <c r="AH4">
        <v>81680040000</v>
      </c>
      <c r="AI4">
        <v>113473565980</v>
      </c>
      <c r="AJ4">
        <v>31793525980</v>
      </c>
      <c r="AK4"/>
      <c r="AL4"/>
    </row>
    <row r="5" spans="1:38" x14ac:dyDescent="0.35">
      <c r="A5">
        <v>41</v>
      </c>
      <c r="B5" t="s">
        <v>31</v>
      </c>
      <c r="C5" t="s">
        <v>32</v>
      </c>
      <c r="D5" s="7">
        <v>141.22971128337861</v>
      </c>
      <c r="E5">
        <v>24447</v>
      </c>
      <c r="F5">
        <v>2022</v>
      </c>
      <c r="G5">
        <v>122.6823529411765</v>
      </c>
      <c r="H5">
        <v>11.017647058823529</v>
      </c>
      <c r="I5">
        <v>11.017647058823529</v>
      </c>
      <c r="J5">
        <v>9.9117647058823533</v>
      </c>
      <c r="K5">
        <v>0.85882352941176465</v>
      </c>
      <c r="L5">
        <v>0.85882352941176465</v>
      </c>
      <c r="M5">
        <v>0.1764705882352941</v>
      </c>
      <c r="N5">
        <v>1.7647058823529412E-2</v>
      </c>
      <c r="O5">
        <v>0.19411764705882351</v>
      </c>
      <c r="P5">
        <v>122.2588235294118</v>
      </c>
      <c r="Q5" t="s">
        <v>79</v>
      </c>
      <c r="R5">
        <v>25.882352941176471</v>
      </c>
      <c r="S5" t="s">
        <v>75</v>
      </c>
      <c r="T5" s="15">
        <v>62.941176470588232</v>
      </c>
      <c r="U5" t="s">
        <v>44</v>
      </c>
      <c r="V5" s="18">
        <v>94.117647058823522</v>
      </c>
      <c r="W5" t="s">
        <v>39</v>
      </c>
      <c r="X5" s="26">
        <v>88.235294117647058</v>
      </c>
      <c r="Y5">
        <v>20856</v>
      </c>
      <c r="Z5">
        <v>1873</v>
      </c>
      <c r="AA5">
        <v>22729</v>
      </c>
      <c r="AB5">
        <v>1407</v>
      </c>
      <c r="AC5">
        <v>146</v>
      </c>
      <c r="AD5">
        <v>1685</v>
      </c>
      <c r="AE5">
        <v>30</v>
      </c>
      <c r="AF5">
        <v>3</v>
      </c>
      <c r="AG5">
        <v>33</v>
      </c>
      <c r="AH5">
        <v>84821580000</v>
      </c>
      <c r="AI5">
        <v>119793272540</v>
      </c>
      <c r="AJ5">
        <v>34971692540</v>
      </c>
      <c r="AK5"/>
      <c r="AL5"/>
    </row>
    <row r="6" spans="1:38" hidden="1" x14ac:dyDescent="0.35">
      <c r="A6">
        <v>13</v>
      </c>
      <c r="B6" t="s">
        <v>45</v>
      </c>
      <c r="C6" t="s">
        <v>46</v>
      </c>
      <c r="D6">
        <v>128.50677761080809</v>
      </c>
      <c r="E6">
        <v>37875</v>
      </c>
      <c r="F6">
        <v>3191</v>
      </c>
      <c r="G6">
        <v>128.601593625498</v>
      </c>
      <c r="H6">
        <v>11.8605577689243</v>
      </c>
      <c r="I6">
        <v>11.8605577689243</v>
      </c>
      <c r="J6">
        <v>10.27490039840638</v>
      </c>
      <c r="K6">
        <v>0.8366533864541833</v>
      </c>
      <c r="L6">
        <v>0.8366533864541833</v>
      </c>
      <c r="M6">
        <v>0.14342629482071709</v>
      </c>
      <c r="N6">
        <v>1.5936254980079681E-2</v>
      </c>
      <c r="O6">
        <v>0.15936254980079681</v>
      </c>
      <c r="P6">
        <v>128.03585657370519</v>
      </c>
      <c r="Q6" t="s">
        <v>47</v>
      </c>
      <c r="R6">
        <v>35.059760956175303</v>
      </c>
      <c r="S6" t="s">
        <v>48</v>
      </c>
      <c r="T6">
        <v>57.768924302788847</v>
      </c>
      <c r="U6" t="s">
        <v>49</v>
      </c>
      <c r="V6">
        <v>88</v>
      </c>
      <c r="W6" t="s">
        <v>50</v>
      </c>
      <c r="X6">
        <v>76</v>
      </c>
      <c r="Y6">
        <v>32279</v>
      </c>
      <c r="Z6">
        <v>2977</v>
      </c>
      <c r="AA6">
        <v>35256</v>
      </c>
      <c r="AB6">
        <v>2209</v>
      </c>
      <c r="AC6">
        <v>210</v>
      </c>
      <c r="AD6">
        <v>2579</v>
      </c>
      <c r="AE6">
        <v>36</v>
      </c>
      <c r="AF6">
        <v>4</v>
      </c>
      <c r="AG6">
        <v>40</v>
      </c>
      <c r="AH6">
        <v>131421090000</v>
      </c>
      <c r="AI6">
        <v>168885007860</v>
      </c>
      <c r="AJ6">
        <v>37463917860</v>
      </c>
      <c r="AK6"/>
      <c r="AL6"/>
    </row>
    <row r="7" spans="1:38" x14ac:dyDescent="0.35">
      <c r="A7">
        <v>42</v>
      </c>
      <c r="B7" t="s">
        <v>31</v>
      </c>
      <c r="C7" t="s">
        <v>32</v>
      </c>
      <c r="D7" s="7">
        <v>140.08928348113639</v>
      </c>
      <c r="E7">
        <v>24322</v>
      </c>
      <c r="F7">
        <v>2041</v>
      </c>
      <c r="G7">
        <v>121.7352941176471</v>
      </c>
      <c r="H7">
        <v>11.28235294117647</v>
      </c>
      <c r="I7">
        <v>11.28235294117647</v>
      </c>
      <c r="J7">
        <v>9.8411764705882359</v>
      </c>
      <c r="K7">
        <v>0.71176470588235297</v>
      </c>
      <c r="L7">
        <v>0.71176470588235297</v>
      </c>
      <c r="M7">
        <v>0.2</v>
      </c>
      <c r="N7">
        <v>1.1764705882352939E-2</v>
      </c>
      <c r="O7">
        <v>0.21176470588235291</v>
      </c>
      <c r="P7">
        <v>121.2764705882353</v>
      </c>
      <c r="Q7" t="s">
        <v>79</v>
      </c>
      <c r="R7">
        <v>25.882352941176471</v>
      </c>
      <c r="S7" t="s">
        <v>42</v>
      </c>
      <c r="T7" s="16">
        <v>59.411764705882362</v>
      </c>
      <c r="U7" t="s">
        <v>39</v>
      </c>
      <c r="V7" s="16">
        <v>88.235294117647058</v>
      </c>
      <c r="W7" t="s">
        <v>39</v>
      </c>
      <c r="X7" s="26">
        <v>88.235294117647058</v>
      </c>
      <c r="Y7">
        <v>20695</v>
      </c>
      <c r="Z7">
        <v>1918</v>
      </c>
      <c r="AA7">
        <v>22613</v>
      </c>
      <c r="AB7">
        <v>1408</v>
      </c>
      <c r="AC7">
        <v>121</v>
      </c>
      <c r="AD7">
        <v>1673</v>
      </c>
      <c r="AE7">
        <v>34</v>
      </c>
      <c r="AF7">
        <v>2</v>
      </c>
      <c r="AG7">
        <v>36</v>
      </c>
      <c r="AH7">
        <v>84297990000</v>
      </c>
      <c r="AI7">
        <v>118092450180</v>
      </c>
      <c r="AJ7">
        <v>33794460180</v>
      </c>
      <c r="AK7"/>
      <c r="AL7"/>
    </row>
    <row r="8" spans="1:38" x14ac:dyDescent="0.35">
      <c r="A8">
        <v>18</v>
      </c>
      <c r="B8" t="s">
        <v>31</v>
      </c>
      <c r="C8" t="s">
        <v>32</v>
      </c>
      <c r="D8" s="16">
        <v>133.1517085539468</v>
      </c>
      <c r="E8">
        <v>23991</v>
      </c>
      <c r="F8">
        <v>1980</v>
      </c>
      <c r="G8">
        <v>120.4941176470588</v>
      </c>
      <c r="H8">
        <v>10.78823529411765</v>
      </c>
      <c r="I8">
        <v>10.78823529411765</v>
      </c>
      <c r="J8">
        <v>9.6764705882352935</v>
      </c>
      <c r="K8">
        <v>0.84705882352941175</v>
      </c>
      <c r="L8">
        <v>0.84705882352941175</v>
      </c>
      <c r="M8">
        <v>0.15294117647058819</v>
      </c>
      <c r="N8">
        <v>1.1764705882352939E-2</v>
      </c>
      <c r="O8">
        <v>0.1647058823529412</v>
      </c>
      <c r="P8">
        <v>119.9705882352941</v>
      </c>
      <c r="Q8" t="s">
        <v>56</v>
      </c>
      <c r="R8">
        <v>26.47058823529412</v>
      </c>
      <c r="S8" t="s">
        <v>57</v>
      </c>
      <c r="T8" s="16">
        <v>57.058823529411761</v>
      </c>
      <c r="U8" t="s">
        <v>44</v>
      </c>
      <c r="V8" s="18">
        <v>94.117647058823522</v>
      </c>
      <c r="W8" t="s">
        <v>44</v>
      </c>
      <c r="X8" s="15">
        <v>94.117647058823522</v>
      </c>
      <c r="Y8">
        <v>20484</v>
      </c>
      <c r="Z8">
        <v>1834</v>
      </c>
      <c r="AA8">
        <v>22318</v>
      </c>
      <c r="AB8">
        <v>1389</v>
      </c>
      <c r="AC8">
        <v>144</v>
      </c>
      <c r="AD8">
        <v>1645</v>
      </c>
      <c r="AE8">
        <v>26</v>
      </c>
      <c r="AF8">
        <v>2</v>
      </c>
      <c r="AG8">
        <v>28</v>
      </c>
      <c r="AH8">
        <v>83250810000</v>
      </c>
      <c r="AI8">
        <v>110849875900</v>
      </c>
      <c r="AJ8">
        <v>27599065900</v>
      </c>
      <c r="AK8"/>
      <c r="AL8"/>
    </row>
    <row r="9" spans="1:38" hidden="1" x14ac:dyDescent="0.35">
      <c r="A9">
        <v>16</v>
      </c>
      <c r="B9" t="s">
        <v>45</v>
      </c>
      <c r="C9" t="s">
        <v>46</v>
      </c>
      <c r="D9">
        <v>132.88851661479899</v>
      </c>
      <c r="E9">
        <v>37865</v>
      </c>
      <c r="F9">
        <v>3199</v>
      </c>
      <c r="G9">
        <v>128.4581673306773</v>
      </c>
      <c r="H9">
        <v>11.908366533864539</v>
      </c>
      <c r="I9">
        <v>11.908366533864539</v>
      </c>
      <c r="J9">
        <v>10.314741035856571</v>
      </c>
      <c r="K9">
        <v>0.81673306772908372</v>
      </c>
      <c r="L9">
        <v>0.81673306772908372</v>
      </c>
      <c r="M9">
        <v>0.15537848605577689</v>
      </c>
      <c r="N9">
        <v>1.9920318725099601E-2</v>
      </c>
      <c r="O9">
        <v>0.1752988047808765</v>
      </c>
      <c r="P9">
        <v>128.00398406374501</v>
      </c>
      <c r="Q9" t="s">
        <v>54</v>
      </c>
      <c r="R9">
        <v>33.466135458167329</v>
      </c>
      <c r="S9" t="s">
        <v>48</v>
      </c>
      <c r="T9">
        <v>57.768924302788847</v>
      </c>
      <c r="U9" t="s">
        <v>49</v>
      </c>
      <c r="V9">
        <v>88</v>
      </c>
      <c r="W9" t="s">
        <v>49</v>
      </c>
      <c r="X9">
        <v>88</v>
      </c>
      <c r="Y9">
        <v>32243</v>
      </c>
      <c r="Z9">
        <v>2989</v>
      </c>
      <c r="AA9">
        <v>35232</v>
      </c>
      <c r="AB9">
        <v>2208</v>
      </c>
      <c r="AC9">
        <v>205</v>
      </c>
      <c r="AD9">
        <v>2589</v>
      </c>
      <c r="AE9">
        <v>39</v>
      </c>
      <c r="AF9">
        <v>5</v>
      </c>
      <c r="AG9">
        <v>44</v>
      </c>
      <c r="AH9">
        <v>131421090000</v>
      </c>
      <c r="AI9">
        <v>174643537020</v>
      </c>
      <c r="AJ9">
        <v>43222447020</v>
      </c>
      <c r="AK9"/>
      <c r="AL9"/>
    </row>
    <row r="10" spans="1:38" x14ac:dyDescent="0.35">
      <c r="A10">
        <v>44</v>
      </c>
      <c r="B10" t="s">
        <v>31</v>
      </c>
      <c r="C10" t="s">
        <v>32</v>
      </c>
      <c r="D10" s="7">
        <v>140.49951662826331</v>
      </c>
      <c r="E10">
        <v>23848</v>
      </c>
      <c r="F10">
        <v>1863</v>
      </c>
      <c r="G10">
        <v>120.2176470588235</v>
      </c>
      <c r="H10">
        <v>10.205882352941179</v>
      </c>
      <c r="I10">
        <v>10.205882352941179</v>
      </c>
      <c r="J10">
        <v>9.6647058823529406</v>
      </c>
      <c r="K10">
        <v>0.72941176470588232</v>
      </c>
      <c r="L10">
        <v>0.72941176470588232</v>
      </c>
      <c r="M10">
        <v>0.17058823529411771</v>
      </c>
      <c r="N10">
        <v>2.3529411764705879E-2</v>
      </c>
      <c r="O10">
        <v>0.19411764705882351</v>
      </c>
      <c r="P10">
        <v>119.85882352941179</v>
      </c>
      <c r="Q10" t="s">
        <v>81</v>
      </c>
      <c r="R10">
        <v>27.647058823529409</v>
      </c>
      <c r="S10" t="s">
        <v>57</v>
      </c>
      <c r="T10" s="16">
        <v>57.058823529411761</v>
      </c>
      <c r="U10" t="s">
        <v>35</v>
      </c>
      <c r="V10" s="16">
        <v>82.35294117647058</v>
      </c>
      <c r="W10" t="s">
        <v>40</v>
      </c>
      <c r="X10" s="16">
        <v>76.470588235294116</v>
      </c>
      <c r="Y10">
        <v>20437</v>
      </c>
      <c r="Z10">
        <v>1735</v>
      </c>
      <c r="AA10">
        <v>22172</v>
      </c>
      <c r="AB10">
        <v>1387</v>
      </c>
      <c r="AC10">
        <v>124</v>
      </c>
      <c r="AD10">
        <v>1643</v>
      </c>
      <c r="AE10">
        <v>29</v>
      </c>
      <c r="AF10">
        <v>4</v>
      </c>
      <c r="AG10">
        <v>33</v>
      </c>
      <c r="AH10">
        <v>82727220000</v>
      </c>
      <c r="AI10">
        <v>116231344220</v>
      </c>
      <c r="AJ10">
        <v>33504124220</v>
      </c>
      <c r="AK10"/>
      <c r="AL10"/>
    </row>
    <row r="11" spans="1:38" x14ac:dyDescent="0.35">
      <c r="A11">
        <v>46</v>
      </c>
      <c r="B11" t="s">
        <v>31</v>
      </c>
      <c r="C11" t="s">
        <v>32</v>
      </c>
      <c r="D11">
        <v>139.8738827222549</v>
      </c>
      <c r="E11">
        <v>24929</v>
      </c>
      <c r="F11">
        <v>2082</v>
      </c>
      <c r="G11">
        <v>125.0705882352941</v>
      </c>
      <c r="H11">
        <v>11.358823529411771</v>
      </c>
      <c r="I11">
        <v>11.358823529411771</v>
      </c>
      <c r="J11">
        <v>10.011764705882349</v>
      </c>
      <c r="K11">
        <v>0.87647058823529411</v>
      </c>
      <c r="L11">
        <v>0.87647058823529411</v>
      </c>
      <c r="M11">
        <v>0.18823529411764711</v>
      </c>
      <c r="N11">
        <v>1.1764705882352939E-2</v>
      </c>
      <c r="O11">
        <v>0.2</v>
      </c>
      <c r="P11">
        <v>124.38823529411761</v>
      </c>
      <c r="Q11" t="s">
        <v>55</v>
      </c>
      <c r="R11">
        <v>28.235294117647062</v>
      </c>
      <c r="S11" t="s">
        <v>53</v>
      </c>
      <c r="T11" s="15">
        <v>62.352941176470587</v>
      </c>
      <c r="U11" t="s">
        <v>44</v>
      </c>
      <c r="V11" s="18">
        <v>94.117647058823522</v>
      </c>
      <c r="W11" t="s">
        <v>39</v>
      </c>
      <c r="X11" s="26">
        <v>88.235294117647058</v>
      </c>
      <c r="Y11">
        <v>21262</v>
      </c>
      <c r="Z11">
        <v>1931</v>
      </c>
      <c r="AA11">
        <v>23193</v>
      </c>
      <c r="AB11">
        <v>1417</v>
      </c>
      <c r="AC11">
        <v>149</v>
      </c>
      <c r="AD11">
        <v>1702</v>
      </c>
      <c r="AE11">
        <v>32</v>
      </c>
      <c r="AF11">
        <v>2</v>
      </c>
      <c r="AG11">
        <v>34</v>
      </c>
      <c r="AH11">
        <v>86392350000</v>
      </c>
      <c r="AI11">
        <v>120840334320</v>
      </c>
      <c r="AJ11">
        <v>34447984320</v>
      </c>
      <c r="AK11"/>
      <c r="AL11"/>
    </row>
    <row r="12" spans="1:38" x14ac:dyDescent="0.35">
      <c r="A12">
        <v>45</v>
      </c>
      <c r="B12" t="s">
        <v>31</v>
      </c>
      <c r="C12" t="s">
        <v>32</v>
      </c>
      <c r="D12">
        <v>139.91431416967009</v>
      </c>
      <c r="E12">
        <v>24781</v>
      </c>
      <c r="F12">
        <v>2091</v>
      </c>
      <c r="G12">
        <v>124.12941176470591</v>
      </c>
      <c r="H12">
        <v>11.488235294117651</v>
      </c>
      <c r="I12">
        <v>11.488235294117651</v>
      </c>
      <c r="J12">
        <v>9.9529411764705884</v>
      </c>
      <c r="K12">
        <v>0.79411764705882348</v>
      </c>
      <c r="L12">
        <v>0.79411764705882348</v>
      </c>
      <c r="M12">
        <v>0.18235294117647061</v>
      </c>
      <c r="N12">
        <v>1.7647058823529412E-2</v>
      </c>
      <c r="O12">
        <v>0.2</v>
      </c>
      <c r="P12">
        <v>123.4470588235294</v>
      </c>
      <c r="Q12" t="s">
        <v>55</v>
      </c>
      <c r="R12">
        <v>28.235294117647062</v>
      </c>
      <c r="S12" t="s">
        <v>82</v>
      </c>
      <c r="T12">
        <v>58.82352941176471</v>
      </c>
      <c r="U12" t="s">
        <v>43</v>
      </c>
      <c r="V12" s="15">
        <v>100</v>
      </c>
      <c r="W12" t="s">
        <v>44</v>
      </c>
      <c r="X12" s="15">
        <v>94.117647058823522</v>
      </c>
      <c r="Y12">
        <v>21102</v>
      </c>
      <c r="Z12">
        <v>1953</v>
      </c>
      <c r="AA12">
        <v>23055</v>
      </c>
      <c r="AB12">
        <v>1421</v>
      </c>
      <c r="AC12">
        <v>135</v>
      </c>
      <c r="AD12">
        <v>1692</v>
      </c>
      <c r="AE12">
        <v>31</v>
      </c>
      <c r="AF12">
        <v>3</v>
      </c>
      <c r="AG12">
        <v>34</v>
      </c>
      <c r="AH12">
        <v>85868760000</v>
      </c>
      <c r="AI12">
        <v>120142686640</v>
      </c>
      <c r="AJ12">
        <v>34273926640</v>
      </c>
      <c r="AK12"/>
      <c r="AL12"/>
    </row>
    <row r="13" spans="1:38" x14ac:dyDescent="0.35">
      <c r="A13">
        <v>17</v>
      </c>
      <c r="B13" t="s">
        <v>31</v>
      </c>
      <c r="C13" t="s">
        <v>32</v>
      </c>
      <c r="D13" s="16">
        <v>136.040295781727</v>
      </c>
      <c r="E13">
        <v>23861</v>
      </c>
      <c r="F13">
        <v>1941</v>
      </c>
      <c r="G13">
        <v>119.9235294117647</v>
      </c>
      <c r="H13">
        <v>10.670588235294121</v>
      </c>
      <c r="I13">
        <v>10.670588235294121</v>
      </c>
      <c r="J13">
        <v>9.5823529411764703</v>
      </c>
      <c r="K13">
        <v>0.72941176470588232</v>
      </c>
      <c r="L13">
        <v>0.72941176470588232</v>
      </c>
      <c r="M13">
        <v>0.1647058823529412</v>
      </c>
      <c r="N13">
        <v>1.7647058823529412E-2</v>
      </c>
      <c r="O13">
        <v>0.18235294117647061</v>
      </c>
      <c r="P13">
        <v>119.37058823529409</v>
      </c>
      <c r="Q13" t="s">
        <v>55</v>
      </c>
      <c r="R13">
        <v>28.235294117647062</v>
      </c>
      <c r="S13" t="s">
        <v>38</v>
      </c>
      <c r="T13">
        <v>54.117647058823529</v>
      </c>
      <c r="U13" t="s">
        <v>43</v>
      </c>
      <c r="V13" s="15">
        <v>100</v>
      </c>
      <c r="W13" t="s">
        <v>44</v>
      </c>
      <c r="X13" s="15">
        <v>94.117647058823522</v>
      </c>
      <c r="Y13">
        <v>20387</v>
      </c>
      <c r="Z13">
        <v>1814</v>
      </c>
      <c r="AA13">
        <v>22201</v>
      </c>
      <c r="AB13">
        <v>1381</v>
      </c>
      <c r="AC13">
        <v>124</v>
      </c>
      <c r="AD13">
        <v>1629</v>
      </c>
      <c r="AE13">
        <v>28</v>
      </c>
      <c r="AF13">
        <v>3</v>
      </c>
      <c r="AG13">
        <v>31</v>
      </c>
      <c r="AH13">
        <v>82727220000</v>
      </c>
      <c r="AI13">
        <v>112542354780</v>
      </c>
      <c r="AJ13">
        <v>29815134780</v>
      </c>
      <c r="AK13"/>
      <c r="AL13"/>
    </row>
    <row r="14" spans="1:38" x14ac:dyDescent="0.35">
      <c r="A14">
        <v>32</v>
      </c>
      <c r="B14" t="s">
        <v>31</v>
      </c>
      <c r="C14" t="s">
        <v>32</v>
      </c>
      <c r="D14" s="16">
        <v>133.95718437269929</v>
      </c>
      <c r="E14">
        <v>25422</v>
      </c>
      <c r="F14">
        <v>2152</v>
      </c>
      <c r="G14">
        <v>127.2882352941176</v>
      </c>
      <c r="H14">
        <v>11.882352941176469</v>
      </c>
      <c r="I14">
        <v>11.882352941176469</v>
      </c>
      <c r="J14">
        <v>10.170588235294121</v>
      </c>
      <c r="K14">
        <v>0.77058823529411768</v>
      </c>
      <c r="L14">
        <v>0.77058823529411768</v>
      </c>
      <c r="M14">
        <v>0.19411764705882351</v>
      </c>
      <c r="N14">
        <v>5.8823529411764714E-3</v>
      </c>
      <c r="O14">
        <v>0.2</v>
      </c>
      <c r="P14">
        <v>126.5117647058824</v>
      </c>
      <c r="Q14" t="s">
        <v>73</v>
      </c>
      <c r="R14">
        <v>28.823529411764699</v>
      </c>
      <c r="S14" t="s">
        <v>75</v>
      </c>
      <c r="T14" s="15">
        <v>62.941176470588232</v>
      </c>
      <c r="U14" t="s">
        <v>44</v>
      </c>
      <c r="V14" s="18">
        <v>94.117647058823522</v>
      </c>
      <c r="W14" t="s">
        <v>35</v>
      </c>
      <c r="X14" s="16">
        <v>82.35294117647058</v>
      </c>
      <c r="Y14">
        <v>21639</v>
      </c>
      <c r="Z14">
        <v>2020</v>
      </c>
      <c r="AA14">
        <v>23659</v>
      </c>
      <c r="AB14">
        <v>1462</v>
      </c>
      <c r="AC14">
        <v>131</v>
      </c>
      <c r="AD14">
        <v>1729</v>
      </c>
      <c r="AE14">
        <v>33</v>
      </c>
      <c r="AF14">
        <v>1</v>
      </c>
      <c r="AG14">
        <v>34</v>
      </c>
      <c r="AH14">
        <v>88015200000</v>
      </c>
      <c r="AI14">
        <v>117902683740</v>
      </c>
      <c r="AJ14">
        <v>29887483740</v>
      </c>
      <c r="AK14"/>
      <c r="AL14"/>
    </row>
    <row r="15" spans="1:38" x14ac:dyDescent="0.35">
      <c r="A15">
        <v>30</v>
      </c>
      <c r="B15" t="s">
        <v>31</v>
      </c>
      <c r="C15" t="s">
        <v>32</v>
      </c>
      <c r="D15" s="16">
        <v>127.0601110381435</v>
      </c>
      <c r="E15">
        <v>25477</v>
      </c>
      <c r="F15">
        <v>2143</v>
      </c>
      <c r="G15">
        <v>127.8117647058824</v>
      </c>
      <c r="H15">
        <v>11.67647058823529</v>
      </c>
      <c r="I15">
        <v>11.67647058823529</v>
      </c>
      <c r="J15">
        <v>10.22941176470588</v>
      </c>
      <c r="K15">
        <v>0.91764705882352937</v>
      </c>
      <c r="L15">
        <v>0.91764705882352937</v>
      </c>
      <c r="M15">
        <v>0.13529411764705879</v>
      </c>
      <c r="N15">
        <v>1.1764705882352939E-2</v>
      </c>
      <c r="O15">
        <v>0.1470588235294118</v>
      </c>
      <c r="P15">
        <v>127.2941176470588</v>
      </c>
      <c r="Q15" t="s">
        <v>73</v>
      </c>
      <c r="R15">
        <v>28.823529411764699</v>
      </c>
      <c r="S15" t="s">
        <v>74</v>
      </c>
      <c r="T15" s="15">
        <v>60</v>
      </c>
      <c r="U15" t="s">
        <v>39</v>
      </c>
      <c r="V15" s="16">
        <v>88.235294117647058</v>
      </c>
      <c r="W15" t="s">
        <v>36</v>
      </c>
      <c r="X15" s="16">
        <v>70.588235294117652</v>
      </c>
      <c r="Y15">
        <v>21728</v>
      </c>
      <c r="Z15">
        <v>1985</v>
      </c>
      <c r="AA15">
        <v>23713</v>
      </c>
      <c r="AB15">
        <v>1483</v>
      </c>
      <c r="AC15">
        <v>156</v>
      </c>
      <c r="AD15">
        <v>1739</v>
      </c>
      <c r="AE15">
        <v>23</v>
      </c>
      <c r="AF15">
        <v>2</v>
      </c>
      <c r="AG15">
        <v>25</v>
      </c>
      <c r="AH15">
        <v>88486710000</v>
      </c>
      <c r="AI15">
        <v>112431311980</v>
      </c>
      <c r="AJ15">
        <v>23944601980</v>
      </c>
      <c r="AK15"/>
      <c r="AL15"/>
    </row>
    <row r="16" spans="1:38" x14ac:dyDescent="0.35">
      <c r="A16">
        <v>48</v>
      </c>
      <c r="B16" t="s">
        <v>31</v>
      </c>
      <c r="C16" t="s">
        <v>32</v>
      </c>
      <c r="D16" s="16">
        <v>135.14601056690779</v>
      </c>
      <c r="E16">
        <v>24919</v>
      </c>
      <c r="F16">
        <v>2057</v>
      </c>
      <c r="G16">
        <v>125.0058823529412</v>
      </c>
      <c r="H16">
        <v>11.329411764705879</v>
      </c>
      <c r="I16">
        <v>11.329411764705879</v>
      </c>
      <c r="J16">
        <v>10.05294117647059</v>
      </c>
      <c r="K16">
        <v>0.75882352941176467</v>
      </c>
      <c r="L16">
        <v>0.75882352941176467</v>
      </c>
      <c r="M16">
        <v>0.18235294117647061</v>
      </c>
      <c r="N16">
        <v>1.1764705882352939E-2</v>
      </c>
      <c r="O16">
        <v>0.19411764705882351</v>
      </c>
      <c r="P16">
        <v>124.5470588235294</v>
      </c>
      <c r="Q16" t="s">
        <v>73</v>
      </c>
      <c r="R16">
        <v>28.823529411764699</v>
      </c>
      <c r="S16" t="s">
        <v>57</v>
      </c>
      <c r="T16">
        <v>57.058823529411761</v>
      </c>
      <c r="U16" t="s">
        <v>40</v>
      </c>
      <c r="V16" s="16">
        <v>76.470588235294116</v>
      </c>
      <c r="W16" t="s">
        <v>36</v>
      </c>
      <c r="X16" s="16">
        <v>70.588235294117652</v>
      </c>
      <c r="Y16">
        <v>21251</v>
      </c>
      <c r="Z16">
        <v>1926</v>
      </c>
      <c r="AA16">
        <v>23177</v>
      </c>
      <c r="AB16">
        <v>1448</v>
      </c>
      <c r="AC16">
        <v>129</v>
      </c>
      <c r="AD16">
        <v>1709</v>
      </c>
      <c r="AE16">
        <v>31</v>
      </c>
      <c r="AF16">
        <v>2</v>
      </c>
      <c r="AG16">
        <v>33</v>
      </c>
      <c r="AH16">
        <v>86392350000</v>
      </c>
      <c r="AI16">
        <v>116755814460</v>
      </c>
      <c r="AJ16">
        <v>30363464460</v>
      </c>
      <c r="AK16"/>
      <c r="AL16"/>
    </row>
    <row r="17" spans="1:38" x14ac:dyDescent="0.35">
      <c r="A17">
        <v>12</v>
      </c>
      <c r="B17" t="s">
        <v>31</v>
      </c>
      <c r="C17" t="s">
        <v>32</v>
      </c>
      <c r="D17" s="16">
        <v>138.44452483068349</v>
      </c>
      <c r="E17">
        <v>24797</v>
      </c>
      <c r="F17">
        <v>2074</v>
      </c>
      <c r="G17">
        <v>124.37058823529409</v>
      </c>
      <c r="H17">
        <v>11.376470588235289</v>
      </c>
      <c r="I17">
        <v>11.376470588235289</v>
      </c>
      <c r="J17">
        <v>9.9176470588235297</v>
      </c>
      <c r="K17">
        <v>0.81176470588235294</v>
      </c>
      <c r="L17">
        <v>0.81176470588235294</v>
      </c>
      <c r="M17">
        <v>0.18823529411764711</v>
      </c>
      <c r="N17">
        <v>1.1764705882352939E-2</v>
      </c>
      <c r="O17">
        <v>0.2</v>
      </c>
      <c r="P17">
        <v>123.5647058823529</v>
      </c>
      <c r="Q17" t="s">
        <v>41</v>
      </c>
      <c r="R17">
        <v>29.411764705882359</v>
      </c>
      <c r="S17" t="s">
        <v>42</v>
      </c>
      <c r="T17">
        <v>59.411764705882362</v>
      </c>
      <c r="U17" t="s">
        <v>43</v>
      </c>
      <c r="V17" s="15">
        <v>100</v>
      </c>
      <c r="W17" t="s">
        <v>44</v>
      </c>
      <c r="X17" s="15">
        <v>94.117647058823522</v>
      </c>
      <c r="Y17">
        <v>21143</v>
      </c>
      <c r="Z17">
        <v>1934</v>
      </c>
      <c r="AA17">
        <v>23077</v>
      </c>
      <c r="AB17">
        <v>1412</v>
      </c>
      <c r="AC17">
        <v>138</v>
      </c>
      <c r="AD17">
        <v>1686</v>
      </c>
      <c r="AE17">
        <v>32</v>
      </c>
      <c r="AF17">
        <v>2</v>
      </c>
      <c r="AG17">
        <v>34</v>
      </c>
      <c r="AH17">
        <v>85868760000</v>
      </c>
      <c r="AI17">
        <v>118880596760</v>
      </c>
      <c r="AJ17">
        <v>33011836760</v>
      </c>
      <c r="AK17"/>
      <c r="AL17"/>
    </row>
    <row r="18" spans="1:38" x14ac:dyDescent="0.35">
      <c r="A18">
        <v>50</v>
      </c>
      <c r="B18" t="s">
        <v>31</v>
      </c>
      <c r="C18" t="s">
        <v>32</v>
      </c>
      <c r="D18" s="16">
        <v>128.70902874662579</v>
      </c>
      <c r="E18">
        <v>25040</v>
      </c>
      <c r="F18">
        <v>2106</v>
      </c>
      <c r="G18">
        <v>125.5235294117647</v>
      </c>
      <c r="H18">
        <v>11.54117647058824</v>
      </c>
      <c r="I18">
        <v>11.54117647058824</v>
      </c>
      <c r="J18">
        <v>10.070588235294119</v>
      </c>
      <c r="K18">
        <v>0.83529411764705885</v>
      </c>
      <c r="L18">
        <v>0.83529411764705885</v>
      </c>
      <c r="M18">
        <v>0.1470588235294118</v>
      </c>
      <c r="N18">
        <v>1.1764705882352939E-2</v>
      </c>
      <c r="O18">
        <v>0.1588235294117647</v>
      </c>
      <c r="P18">
        <v>125.0352941176471</v>
      </c>
      <c r="Q18" t="s">
        <v>33</v>
      </c>
      <c r="R18">
        <v>30</v>
      </c>
      <c r="S18" t="s">
        <v>84</v>
      </c>
      <c r="T18">
        <v>57.647058823529413</v>
      </c>
      <c r="U18" t="s">
        <v>43</v>
      </c>
      <c r="V18" s="15">
        <v>100</v>
      </c>
      <c r="W18" t="s">
        <v>35</v>
      </c>
      <c r="X18" s="16">
        <v>82.35294117647058</v>
      </c>
      <c r="Y18">
        <v>21339</v>
      </c>
      <c r="Z18">
        <v>1962</v>
      </c>
      <c r="AA18">
        <v>23301</v>
      </c>
      <c r="AB18">
        <v>1462</v>
      </c>
      <c r="AC18">
        <v>142</v>
      </c>
      <c r="AD18">
        <v>1712</v>
      </c>
      <c r="AE18">
        <v>25</v>
      </c>
      <c r="AF18">
        <v>2</v>
      </c>
      <c r="AG18">
        <v>27</v>
      </c>
      <c r="AH18">
        <v>86915940000</v>
      </c>
      <c r="AI18">
        <v>111868662200</v>
      </c>
      <c r="AJ18">
        <v>24952722200</v>
      </c>
      <c r="AK18"/>
      <c r="AL18"/>
    </row>
    <row r="19" spans="1:38" x14ac:dyDescent="0.35">
      <c r="A19">
        <v>10</v>
      </c>
      <c r="B19" t="s">
        <v>31</v>
      </c>
      <c r="C19" t="s">
        <v>32</v>
      </c>
      <c r="D19" s="7">
        <v>140.00590121903991</v>
      </c>
      <c r="E19">
        <v>25067</v>
      </c>
      <c r="F19">
        <v>2022</v>
      </c>
      <c r="G19">
        <v>126.0529411764706</v>
      </c>
      <c r="H19">
        <v>11.09411764705882</v>
      </c>
      <c r="I19">
        <v>11.09411764705882</v>
      </c>
      <c r="J19">
        <v>10.111764705882351</v>
      </c>
      <c r="K19">
        <v>0.77058823529411768</v>
      </c>
      <c r="L19">
        <v>0.77058823529411768</v>
      </c>
      <c r="M19">
        <v>0.1647058823529412</v>
      </c>
      <c r="N19">
        <v>2.9411764705882349E-2</v>
      </c>
      <c r="O19">
        <v>0.19411764705882351</v>
      </c>
      <c r="P19">
        <v>125.5294117647059</v>
      </c>
      <c r="Q19" t="s">
        <v>33</v>
      </c>
      <c r="R19">
        <v>30</v>
      </c>
      <c r="S19" t="s">
        <v>34</v>
      </c>
      <c r="T19">
        <v>55.882352941176471</v>
      </c>
      <c r="U19" t="s">
        <v>35</v>
      </c>
      <c r="V19" s="16">
        <v>82.35294117647058</v>
      </c>
      <c r="W19" t="s">
        <v>36</v>
      </c>
      <c r="X19" s="16">
        <v>70.588235294117652</v>
      </c>
      <c r="Y19">
        <v>21429</v>
      </c>
      <c r="Z19">
        <v>1886</v>
      </c>
      <c r="AA19">
        <v>23315</v>
      </c>
      <c r="AB19">
        <v>1456</v>
      </c>
      <c r="AC19">
        <v>131</v>
      </c>
      <c r="AD19">
        <v>1719</v>
      </c>
      <c r="AE19">
        <v>28</v>
      </c>
      <c r="AF19">
        <v>5</v>
      </c>
      <c r="AG19">
        <v>33</v>
      </c>
      <c r="AH19">
        <v>86915940000</v>
      </c>
      <c r="AI19">
        <v>121687445100</v>
      </c>
      <c r="AJ19">
        <v>34771505100</v>
      </c>
      <c r="AK19"/>
      <c r="AL19"/>
    </row>
    <row r="20" spans="1:38" x14ac:dyDescent="0.35">
      <c r="A20">
        <v>31</v>
      </c>
      <c r="B20" t="s">
        <v>31</v>
      </c>
      <c r="C20" t="s">
        <v>32</v>
      </c>
      <c r="D20">
        <v>138.82201644485471</v>
      </c>
      <c r="E20">
        <v>25081</v>
      </c>
      <c r="F20">
        <v>2061</v>
      </c>
      <c r="G20">
        <v>125.8117647058824</v>
      </c>
      <c r="H20">
        <v>11.4</v>
      </c>
      <c r="I20">
        <v>11.4</v>
      </c>
      <c r="J20">
        <v>10.10588235294118</v>
      </c>
      <c r="K20">
        <v>0.71176470588235297</v>
      </c>
      <c r="L20">
        <v>0.71176470588235297</v>
      </c>
      <c r="M20">
        <v>0.20588235294117649</v>
      </c>
      <c r="N20">
        <v>1.1764705882352939E-2</v>
      </c>
      <c r="O20">
        <v>0.21764705882352939</v>
      </c>
      <c r="P20">
        <v>125.2882352941176</v>
      </c>
      <c r="Q20" t="s">
        <v>33</v>
      </c>
      <c r="R20">
        <v>30</v>
      </c>
      <c r="S20" t="s">
        <v>62</v>
      </c>
      <c r="T20">
        <v>55.294117647058833</v>
      </c>
      <c r="U20" t="s">
        <v>39</v>
      </c>
      <c r="V20" s="16">
        <v>88.235294117647058</v>
      </c>
      <c r="W20" t="s">
        <v>39</v>
      </c>
      <c r="X20" s="26">
        <v>88.235294117647058</v>
      </c>
      <c r="Y20">
        <v>21388</v>
      </c>
      <c r="Z20">
        <v>1938</v>
      </c>
      <c r="AA20">
        <v>23326</v>
      </c>
      <c r="AB20">
        <v>1449</v>
      </c>
      <c r="AC20">
        <v>121</v>
      </c>
      <c r="AD20">
        <v>1718</v>
      </c>
      <c r="AE20">
        <v>35</v>
      </c>
      <c r="AF20">
        <v>2</v>
      </c>
      <c r="AG20">
        <v>37</v>
      </c>
      <c r="AH20">
        <v>86915940000</v>
      </c>
      <c r="AI20">
        <v>120658460520</v>
      </c>
      <c r="AJ20">
        <v>33742520520</v>
      </c>
      <c r="AK20"/>
      <c r="AL20"/>
    </row>
    <row r="21" spans="1:38" x14ac:dyDescent="0.35">
      <c r="A21">
        <v>52</v>
      </c>
      <c r="B21" t="s">
        <v>31</v>
      </c>
      <c r="C21" t="s">
        <v>32</v>
      </c>
      <c r="D21">
        <v>133.8463722300429</v>
      </c>
      <c r="E21">
        <v>25192</v>
      </c>
      <c r="F21">
        <v>1963</v>
      </c>
      <c r="G21">
        <v>127.0235294117647</v>
      </c>
      <c r="H21">
        <v>10.77647058823529</v>
      </c>
      <c r="I21">
        <v>10.77647058823529</v>
      </c>
      <c r="J21">
        <v>10.199999999999999</v>
      </c>
      <c r="K21">
        <v>0.75294117647058822</v>
      </c>
      <c r="L21">
        <v>0.75294117647058822</v>
      </c>
      <c r="M21">
        <v>0.17058823529411771</v>
      </c>
      <c r="N21">
        <v>1.7647058823529412E-2</v>
      </c>
      <c r="O21">
        <v>0.18823529411764711</v>
      </c>
      <c r="P21">
        <v>126.7235294117647</v>
      </c>
      <c r="Q21" t="s">
        <v>85</v>
      </c>
      <c r="R21">
        <v>30.588235294117649</v>
      </c>
      <c r="S21" t="s">
        <v>42</v>
      </c>
      <c r="T21">
        <v>59.411764705882362</v>
      </c>
      <c r="U21" t="s">
        <v>39</v>
      </c>
      <c r="V21" s="16">
        <v>88.235294117647058</v>
      </c>
      <c r="W21" t="s">
        <v>39</v>
      </c>
      <c r="X21" s="26">
        <v>88.235294117647058</v>
      </c>
      <c r="Y21">
        <v>21594</v>
      </c>
      <c r="Z21">
        <v>1832</v>
      </c>
      <c r="AA21">
        <v>23426</v>
      </c>
      <c r="AB21">
        <v>1478</v>
      </c>
      <c r="AC21">
        <v>128</v>
      </c>
      <c r="AD21">
        <v>1734</v>
      </c>
      <c r="AE21">
        <v>29</v>
      </c>
      <c r="AF21">
        <v>3</v>
      </c>
      <c r="AG21">
        <v>32</v>
      </c>
      <c r="AH21">
        <v>87439530000</v>
      </c>
      <c r="AI21">
        <v>117034638800</v>
      </c>
      <c r="AJ21">
        <v>29595108800</v>
      </c>
      <c r="AK21"/>
      <c r="AL21"/>
    </row>
    <row r="22" spans="1:38" x14ac:dyDescent="0.35">
      <c r="A22">
        <v>25</v>
      </c>
      <c r="B22" t="s">
        <v>31</v>
      </c>
      <c r="C22" t="s">
        <v>32</v>
      </c>
      <c r="D22" s="16">
        <v>128.91699115260101</v>
      </c>
      <c r="E22">
        <v>25051</v>
      </c>
      <c r="F22">
        <v>2079</v>
      </c>
      <c r="G22">
        <v>125.6941176470588</v>
      </c>
      <c r="H22">
        <v>11.41176470588235</v>
      </c>
      <c r="I22">
        <v>11.41176470588235</v>
      </c>
      <c r="J22">
        <v>10.08235294117647</v>
      </c>
      <c r="K22">
        <v>0.81176470588235294</v>
      </c>
      <c r="L22">
        <v>0.81176470588235294</v>
      </c>
      <c r="M22">
        <v>0.1647058823529412</v>
      </c>
      <c r="N22">
        <v>5.8823529411764714E-3</v>
      </c>
      <c r="O22">
        <v>0.17058823529411771</v>
      </c>
      <c r="P22">
        <v>125.1882352941176</v>
      </c>
      <c r="Q22" t="s">
        <v>67</v>
      </c>
      <c r="R22">
        <v>31.17647058823529</v>
      </c>
      <c r="S22" t="s">
        <v>64</v>
      </c>
      <c r="T22">
        <v>56.470588235294123</v>
      </c>
      <c r="U22" t="s">
        <v>44</v>
      </c>
      <c r="V22" s="18">
        <v>94.117647058823522</v>
      </c>
      <c r="W22" t="s">
        <v>39</v>
      </c>
      <c r="X22" s="26">
        <v>88.235294117647058</v>
      </c>
      <c r="Y22">
        <v>21368</v>
      </c>
      <c r="Z22">
        <v>1940</v>
      </c>
      <c r="AA22">
        <v>23308</v>
      </c>
      <c r="AB22">
        <v>1460</v>
      </c>
      <c r="AC22">
        <v>138</v>
      </c>
      <c r="AD22">
        <v>1714</v>
      </c>
      <c r="AE22">
        <v>28</v>
      </c>
      <c r="AF22">
        <v>1</v>
      </c>
      <c r="AG22">
        <v>29</v>
      </c>
      <c r="AH22">
        <v>86915940000</v>
      </c>
      <c r="AI22">
        <v>112049414680</v>
      </c>
      <c r="AJ22">
        <v>25133474680</v>
      </c>
      <c r="AK22"/>
      <c r="AL22"/>
    </row>
    <row r="23" spans="1:38" x14ac:dyDescent="0.35">
      <c r="A23">
        <v>29</v>
      </c>
      <c r="B23" t="s">
        <v>31</v>
      </c>
      <c r="C23" t="s">
        <v>32</v>
      </c>
      <c r="D23" s="16">
        <v>116.7228388813319</v>
      </c>
      <c r="E23">
        <v>24373</v>
      </c>
      <c r="F23">
        <v>1974</v>
      </c>
      <c r="G23">
        <v>122.58823529411769</v>
      </c>
      <c r="H23">
        <v>10.77647058823529</v>
      </c>
      <c r="I23">
        <v>10.77647058823529</v>
      </c>
      <c r="J23">
        <v>9.8941176470588239</v>
      </c>
      <c r="K23">
        <v>0.8294117647058824</v>
      </c>
      <c r="L23">
        <v>0.8294117647058824</v>
      </c>
      <c r="M23">
        <v>0.1058823529411765</v>
      </c>
      <c r="N23">
        <v>5.8823529411764714E-3</v>
      </c>
      <c r="O23">
        <v>0.1117647058823529</v>
      </c>
      <c r="P23">
        <v>122.5117647058824</v>
      </c>
      <c r="Q23" t="s">
        <v>67</v>
      </c>
      <c r="R23">
        <v>31.17647058823529</v>
      </c>
      <c r="S23" t="s">
        <v>72</v>
      </c>
      <c r="T23">
        <v>48.823529411764703</v>
      </c>
      <c r="U23" t="s">
        <v>35</v>
      </c>
      <c r="V23" s="16">
        <v>82.35294117647058</v>
      </c>
      <c r="W23" t="s">
        <v>65</v>
      </c>
      <c r="X23" s="16">
        <v>58.82352941176471</v>
      </c>
      <c r="Y23">
        <v>20840</v>
      </c>
      <c r="Z23">
        <v>1832</v>
      </c>
      <c r="AA23">
        <v>22672</v>
      </c>
      <c r="AB23">
        <v>1465</v>
      </c>
      <c r="AC23">
        <v>141</v>
      </c>
      <c r="AD23">
        <v>1682</v>
      </c>
      <c r="AE23">
        <v>18</v>
      </c>
      <c r="AF23">
        <v>1</v>
      </c>
      <c r="AG23">
        <v>19</v>
      </c>
      <c r="AH23">
        <v>84821580000</v>
      </c>
      <c r="AI23">
        <v>99006156160</v>
      </c>
      <c r="AJ23">
        <v>14184576160</v>
      </c>
      <c r="AK23"/>
      <c r="AL23"/>
    </row>
    <row r="24" spans="1:38" x14ac:dyDescent="0.35">
      <c r="A24">
        <v>43</v>
      </c>
      <c r="B24" t="s">
        <v>31</v>
      </c>
      <c r="C24" t="s">
        <v>32</v>
      </c>
      <c r="D24">
        <v>136.4258016535932</v>
      </c>
      <c r="E24">
        <v>24756</v>
      </c>
      <c r="F24">
        <v>2097</v>
      </c>
      <c r="G24">
        <v>123.85882352941179</v>
      </c>
      <c r="H24">
        <v>11.54117647058824</v>
      </c>
      <c r="I24">
        <v>11.54117647058824</v>
      </c>
      <c r="J24">
        <v>10.023529411764709</v>
      </c>
      <c r="K24">
        <v>0.78823529411764703</v>
      </c>
      <c r="L24">
        <v>0.78823529411764703</v>
      </c>
      <c r="M24">
        <v>0.19411764705882351</v>
      </c>
      <c r="N24">
        <v>5.8823529411764714E-3</v>
      </c>
      <c r="O24">
        <v>0.2</v>
      </c>
      <c r="P24">
        <v>123.4352941176471</v>
      </c>
      <c r="Q24" t="s">
        <v>77</v>
      </c>
      <c r="R24">
        <v>31.764705882352938</v>
      </c>
      <c r="S24" t="s">
        <v>80</v>
      </c>
      <c r="T24">
        <v>58.235294117647072</v>
      </c>
      <c r="U24" t="s">
        <v>43</v>
      </c>
      <c r="V24" s="15">
        <v>100</v>
      </c>
      <c r="W24" t="s">
        <v>39</v>
      </c>
      <c r="X24" s="26">
        <v>88.235294117647058</v>
      </c>
      <c r="Y24">
        <v>21056</v>
      </c>
      <c r="Z24">
        <v>1962</v>
      </c>
      <c r="AA24">
        <v>23018</v>
      </c>
      <c r="AB24">
        <v>1434</v>
      </c>
      <c r="AC24">
        <v>134</v>
      </c>
      <c r="AD24">
        <v>1704</v>
      </c>
      <c r="AE24">
        <v>33</v>
      </c>
      <c r="AF24">
        <v>1</v>
      </c>
      <c r="AG24">
        <v>34</v>
      </c>
      <c r="AH24">
        <v>85868760000</v>
      </c>
      <c r="AI24">
        <v>117147144200</v>
      </c>
      <c r="AJ24">
        <v>31278384200</v>
      </c>
      <c r="AK24"/>
      <c r="AL24"/>
    </row>
    <row r="25" spans="1:38" x14ac:dyDescent="0.35">
      <c r="A25">
        <v>38</v>
      </c>
      <c r="B25" t="s">
        <v>31</v>
      </c>
      <c r="C25" t="s">
        <v>32</v>
      </c>
      <c r="D25">
        <v>119.6731336944359</v>
      </c>
      <c r="E25">
        <v>25156</v>
      </c>
      <c r="F25">
        <v>2127</v>
      </c>
      <c r="G25">
        <v>126.11764705882349</v>
      </c>
      <c r="H25">
        <v>11.62941176470588</v>
      </c>
      <c r="I25">
        <v>11.62941176470588</v>
      </c>
      <c r="J25">
        <v>10.111764705882351</v>
      </c>
      <c r="K25">
        <v>0.87058823529411766</v>
      </c>
      <c r="L25">
        <v>0.87058823529411766</v>
      </c>
      <c r="M25">
        <v>0.1058823529411765</v>
      </c>
      <c r="N25">
        <v>1.1764705882352939E-2</v>
      </c>
      <c r="O25">
        <v>0.1176470588235294</v>
      </c>
      <c r="P25">
        <v>125.8294117647059</v>
      </c>
      <c r="Q25" t="s">
        <v>77</v>
      </c>
      <c r="R25">
        <v>31.764705882352938</v>
      </c>
      <c r="S25" t="s">
        <v>57</v>
      </c>
      <c r="T25">
        <v>57.058823529411761</v>
      </c>
      <c r="U25" t="s">
        <v>35</v>
      </c>
      <c r="V25" s="16">
        <v>82.35294117647058</v>
      </c>
      <c r="W25" t="s">
        <v>36</v>
      </c>
      <c r="X25" s="16">
        <v>70.588235294117652</v>
      </c>
      <c r="Y25">
        <v>21440</v>
      </c>
      <c r="Z25">
        <v>1977</v>
      </c>
      <c r="AA25">
        <v>23417</v>
      </c>
      <c r="AB25">
        <v>1491</v>
      </c>
      <c r="AC25">
        <v>148</v>
      </c>
      <c r="AD25">
        <v>1719</v>
      </c>
      <c r="AE25">
        <v>18</v>
      </c>
      <c r="AF25">
        <v>2</v>
      </c>
      <c r="AG25">
        <v>20</v>
      </c>
      <c r="AH25">
        <v>87491300000</v>
      </c>
      <c r="AI25">
        <v>104703580420</v>
      </c>
      <c r="AJ25">
        <v>17212280420</v>
      </c>
      <c r="AK25"/>
      <c r="AL25"/>
    </row>
    <row r="26" spans="1:38" x14ac:dyDescent="0.35">
      <c r="A26">
        <v>51</v>
      </c>
      <c r="B26" t="s">
        <v>31</v>
      </c>
      <c r="C26" t="s">
        <v>32</v>
      </c>
      <c r="D26" s="16">
        <v>133.24110826801271</v>
      </c>
      <c r="E26">
        <v>24743</v>
      </c>
      <c r="F26">
        <v>2086</v>
      </c>
      <c r="G26">
        <v>123.84705882352939</v>
      </c>
      <c r="H26">
        <v>11.488235294117651</v>
      </c>
      <c r="I26">
        <v>11.488235294117651</v>
      </c>
      <c r="J26">
        <v>10.023529411764709</v>
      </c>
      <c r="K26">
        <v>0.77647058823529413</v>
      </c>
      <c r="L26">
        <v>0.77647058823529413</v>
      </c>
      <c r="M26">
        <v>0.18235294117647061</v>
      </c>
      <c r="N26">
        <v>5.8823529411764714E-3</v>
      </c>
      <c r="O26">
        <v>0.18823529411764711</v>
      </c>
      <c r="P26">
        <v>123.5058823529412</v>
      </c>
      <c r="Q26" t="s">
        <v>77</v>
      </c>
      <c r="R26">
        <v>31.764705882352938</v>
      </c>
      <c r="S26" t="s">
        <v>64</v>
      </c>
      <c r="T26">
        <v>56.470588235294123</v>
      </c>
      <c r="U26" t="s">
        <v>43</v>
      </c>
      <c r="V26" s="15">
        <v>100</v>
      </c>
      <c r="W26" t="s">
        <v>39</v>
      </c>
      <c r="X26" s="26">
        <v>88.235294117647058</v>
      </c>
      <c r="Y26">
        <v>21054</v>
      </c>
      <c r="Z26">
        <v>1953</v>
      </c>
      <c r="AA26">
        <v>23007</v>
      </c>
      <c r="AB26">
        <v>1444</v>
      </c>
      <c r="AC26">
        <v>132</v>
      </c>
      <c r="AD26">
        <v>1704</v>
      </c>
      <c r="AE26">
        <v>31</v>
      </c>
      <c r="AF26">
        <v>1</v>
      </c>
      <c r="AG26">
        <v>32</v>
      </c>
      <c r="AH26">
        <v>85868760000</v>
      </c>
      <c r="AI26">
        <v>114412487480</v>
      </c>
      <c r="AJ26">
        <v>28543727480</v>
      </c>
      <c r="AK26"/>
      <c r="AL26"/>
    </row>
    <row r="27" spans="1:38" x14ac:dyDescent="0.35">
      <c r="A27">
        <v>36</v>
      </c>
      <c r="B27" t="s">
        <v>31</v>
      </c>
      <c r="C27" t="s">
        <v>32</v>
      </c>
      <c r="D27">
        <v>128.58134497944371</v>
      </c>
      <c r="E27">
        <v>25204</v>
      </c>
      <c r="F27">
        <v>2117</v>
      </c>
      <c r="G27">
        <v>126.2588235294118</v>
      </c>
      <c r="H27">
        <v>11.641176470588229</v>
      </c>
      <c r="I27">
        <v>11.641176470588229</v>
      </c>
      <c r="J27">
        <v>10.18823529411765</v>
      </c>
      <c r="K27">
        <v>0.80588235294117649</v>
      </c>
      <c r="L27">
        <v>0.80588235294117649</v>
      </c>
      <c r="M27">
        <v>0.1647058823529412</v>
      </c>
      <c r="N27">
        <v>5.8823529411764714E-3</v>
      </c>
      <c r="O27">
        <v>0.17058823529411771</v>
      </c>
      <c r="P27">
        <v>125.88235294117651</v>
      </c>
      <c r="Q27" t="s">
        <v>58</v>
      </c>
      <c r="R27">
        <v>32.941176470588232</v>
      </c>
      <c r="S27" t="s">
        <v>74</v>
      </c>
      <c r="T27" s="15">
        <v>60</v>
      </c>
      <c r="U27" t="s">
        <v>44</v>
      </c>
      <c r="V27" s="18">
        <v>94.117647058823522</v>
      </c>
      <c r="W27" t="s">
        <v>39</v>
      </c>
      <c r="X27" s="26">
        <v>88.235294117647058</v>
      </c>
      <c r="Y27">
        <v>21464</v>
      </c>
      <c r="Z27">
        <v>1979</v>
      </c>
      <c r="AA27">
        <v>23443</v>
      </c>
      <c r="AB27">
        <v>1479</v>
      </c>
      <c r="AC27">
        <v>137</v>
      </c>
      <c r="AD27">
        <v>1732</v>
      </c>
      <c r="AE27">
        <v>28</v>
      </c>
      <c r="AF27">
        <v>1</v>
      </c>
      <c r="AG27">
        <v>29</v>
      </c>
      <c r="AH27">
        <v>87491300000</v>
      </c>
      <c r="AI27">
        <v>112497490280</v>
      </c>
      <c r="AJ27">
        <v>25006190280</v>
      </c>
      <c r="AK27"/>
      <c r="AL27"/>
    </row>
    <row r="28" spans="1:38" x14ac:dyDescent="0.35">
      <c r="A28">
        <v>35</v>
      </c>
      <c r="B28" t="s">
        <v>31</v>
      </c>
      <c r="C28" t="s">
        <v>32</v>
      </c>
      <c r="D28">
        <v>128.1185729920453</v>
      </c>
      <c r="E28">
        <v>25518</v>
      </c>
      <c r="F28">
        <v>2112</v>
      </c>
      <c r="G28">
        <v>128.02352941176471</v>
      </c>
      <c r="H28">
        <v>11.647058823529409</v>
      </c>
      <c r="I28">
        <v>11.647058823529409</v>
      </c>
      <c r="J28">
        <v>10.26470588235294</v>
      </c>
      <c r="K28">
        <v>0.76470588235294112</v>
      </c>
      <c r="L28">
        <v>0.76470588235294112</v>
      </c>
      <c r="M28">
        <v>0.1588235294117647</v>
      </c>
      <c r="N28">
        <v>1.1764705882352939E-2</v>
      </c>
      <c r="O28">
        <v>0.17058823529411771</v>
      </c>
      <c r="P28">
        <v>127.5705882352941</v>
      </c>
      <c r="Q28" t="s">
        <v>58</v>
      </c>
      <c r="R28">
        <v>32.941176470588232</v>
      </c>
      <c r="S28" t="s">
        <v>34</v>
      </c>
      <c r="T28">
        <v>55.882352941176471</v>
      </c>
      <c r="U28" t="s">
        <v>43</v>
      </c>
      <c r="V28" s="15">
        <v>100</v>
      </c>
      <c r="W28" t="s">
        <v>44</v>
      </c>
      <c r="X28" s="15">
        <v>94.117647058823522</v>
      </c>
      <c r="Y28">
        <v>21764</v>
      </c>
      <c r="Z28">
        <v>1980</v>
      </c>
      <c r="AA28">
        <v>23744</v>
      </c>
      <c r="AB28">
        <v>1499</v>
      </c>
      <c r="AC28">
        <v>130</v>
      </c>
      <c r="AD28">
        <v>1745</v>
      </c>
      <c r="AE28">
        <v>27</v>
      </c>
      <c r="AF28">
        <v>2</v>
      </c>
      <c r="AG28">
        <v>29</v>
      </c>
      <c r="AH28">
        <v>88539100000</v>
      </c>
      <c r="AI28">
        <v>113435031460</v>
      </c>
      <c r="AJ28">
        <v>24895931460</v>
      </c>
      <c r="AK28"/>
      <c r="AL28"/>
    </row>
    <row r="29" spans="1:38" x14ac:dyDescent="0.35">
      <c r="A29">
        <v>33</v>
      </c>
      <c r="B29" t="s">
        <v>31</v>
      </c>
      <c r="C29" t="s">
        <v>32</v>
      </c>
      <c r="D29" s="16">
        <v>129.96424510779929</v>
      </c>
      <c r="E29">
        <v>25252</v>
      </c>
      <c r="F29">
        <v>2073</v>
      </c>
      <c r="G29">
        <v>126.7647058823529</v>
      </c>
      <c r="H29">
        <v>11.46470588235294</v>
      </c>
      <c r="I29">
        <v>11.46470588235294</v>
      </c>
      <c r="J29">
        <v>10.123529411764711</v>
      </c>
      <c r="K29">
        <v>0.72352941176470587</v>
      </c>
      <c r="L29">
        <v>0.72352941176470587</v>
      </c>
      <c r="M29">
        <v>0.18235294117647061</v>
      </c>
      <c r="N29">
        <v>5.8823529411764714E-3</v>
      </c>
      <c r="O29">
        <v>0.18823529411764711</v>
      </c>
      <c r="P29">
        <v>126.14705882352941</v>
      </c>
      <c r="Q29" t="s">
        <v>58</v>
      </c>
      <c r="R29">
        <v>32.941176470588232</v>
      </c>
      <c r="S29" t="s">
        <v>62</v>
      </c>
      <c r="T29">
        <v>55.294117647058833</v>
      </c>
      <c r="U29" t="s">
        <v>44</v>
      </c>
      <c r="V29" s="18">
        <v>94.117647058823522</v>
      </c>
      <c r="W29" t="s">
        <v>44</v>
      </c>
      <c r="X29" s="15">
        <v>94.117647058823522</v>
      </c>
      <c r="Y29">
        <v>21550</v>
      </c>
      <c r="Z29">
        <v>1949</v>
      </c>
      <c r="AA29">
        <v>23499</v>
      </c>
      <c r="AB29">
        <v>1470</v>
      </c>
      <c r="AC29">
        <v>123</v>
      </c>
      <c r="AD29">
        <v>1721</v>
      </c>
      <c r="AE29">
        <v>31</v>
      </c>
      <c r="AF29">
        <v>1</v>
      </c>
      <c r="AG29">
        <v>32</v>
      </c>
      <c r="AH29">
        <v>87491300000</v>
      </c>
      <c r="AI29">
        <v>113707407580</v>
      </c>
      <c r="AJ29">
        <v>26216107580</v>
      </c>
      <c r="AK29"/>
      <c r="AL29"/>
    </row>
    <row r="30" spans="1:38" x14ac:dyDescent="0.35">
      <c r="A30">
        <v>34</v>
      </c>
      <c r="B30" t="s">
        <v>31</v>
      </c>
      <c r="C30" t="s">
        <v>32</v>
      </c>
      <c r="D30">
        <v>127.31924449630991</v>
      </c>
      <c r="E30">
        <v>25212</v>
      </c>
      <c r="F30">
        <v>2133</v>
      </c>
      <c r="G30">
        <v>126.2823529411765</v>
      </c>
      <c r="H30">
        <v>11.72941176470588</v>
      </c>
      <c r="I30">
        <v>11.72941176470588</v>
      </c>
      <c r="J30">
        <v>10.12941176470588</v>
      </c>
      <c r="K30">
        <v>0.81176470588235294</v>
      </c>
      <c r="L30">
        <v>0.81176470588235294</v>
      </c>
      <c r="M30">
        <v>0.1588235294117647</v>
      </c>
      <c r="N30">
        <v>5.8823529411764714E-3</v>
      </c>
      <c r="O30">
        <v>0.1647058823529412</v>
      </c>
      <c r="P30">
        <v>125.7882352941176</v>
      </c>
      <c r="Q30" t="s">
        <v>58</v>
      </c>
      <c r="R30">
        <v>32.941176470588232</v>
      </c>
      <c r="S30" t="s">
        <v>62</v>
      </c>
      <c r="T30">
        <v>55.294117647058833</v>
      </c>
      <c r="U30" t="s">
        <v>44</v>
      </c>
      <c r="V30" s="18">
        <v>94.117647058823522</v>
      </c>
      <c r="W30" t="s">
        <v>39</v>
      </c>
      <c r="X30" s="26">
        <v>88.235294117647058</v>
      </c>
      <c r="Y30">
        <v>21468</v>
      </c>
      <c r="Z30">
        <v>1994</v>
      </c>
      <c r="AA30">
        <v>23462</v>
      </c>
      <c r="AB30">
        <v>1472</v>
      </c>
      <c r="AC30">
        <v>138</v>
      </c>
      <c r="AD30">
        <v>1722</v>
      </c>
      <c r="AE30">
        <v>27</v>
      </c>
      <c r="AF30">
        <v>1</v>
      </c>
      <c r="AG30">
        <v>28</v>
      </c>
      <c r="AH30">
        <v>87491300000</v>
      </c>
      <c r="AI30">
        <v>111393262160</v>
      </c>
      <c r="AJ30">
        <v>23901962160</v>
      </c>
      <c r="AK30"/>
      <c r="AL30"/>
    </row>
    <row r="31" spans="1:38" x14ac:dyDescent="0.35">
      <c r="A31">
        <v>19</v>
      </c>
      <c r="B31" t="s">
        <v>31</v>
      </c>
      <c r="C31" t="s">
        <v>32</v>
      </c>
      <c r="D31">
        <v>122.0770319266923</v>
      </c>
      <c r="E31">
        <v>23669</v>
      </c>
      <c r="F31">
        <v>1930</v>
      </c>
      <c r="G31">
        <v>118.89411764705881</v>
      </c>
      <c r="H31">
        <v>10.647058823529409</v>
      </c>
      <c r="I31">
        <v>10.647058823529409</v>
      </c>
      <c r="J31">
        <v>9.552941176470588</v>
      </c>
      <c r="K31">
        <v>0.69411764705882351</v>
      </c>
      <c r="L31">
        <v>0.69411764705882351</v>
      </c>
      <c r="M31">
        <v>0.1235294117647059</v>
      </c>
      <c r="N31">
        <v>1.1764705882352939E-2</v>
      </c>
      <c r="O31">
        <v>0.13529411764705879</v>
      </c>
      <c r="P31">
        <v>118.62352941176469</v>
      </c>
      <c r="Q31" t="s">
        <v>58</v>
      </c>
      <c r="R31">
        <v>32.941176470588232</v>
      </c>
      <c r="S31" t="s">
        <v>59</v>
      </c>
      <c r="T31">
        <v>50</v>
      </c>
      <c r="U31" t="s">
        <v>35</v>
      </c>
      <c r="V31" s="16">
        <v>82.35294117647058</v>
      </c>
      <c r="W31" t="s">
        <v>40</v>
      </c>
      <c r="X31" s="16">
        <v>76.470588235294116</v>
      </c>
      <c r="Y31">
        <v>20212</v>
      </c>
      <c r="Z31">
        <v>1810</v>
      </c>
      <c r="AA31">
        <v>22022</v>
      </c>
      <c r="AB31">
        <v>1414</v>
      </c>
      <c r="AC31">
        <v>118</v>
      </c>
      <c r="AD31">
        <v>1624</v>
      </c>
      <c r="AE31">
        <v>21</v>
      </c>
      <c r="AF31">
        <v>2</v>
      </c>
      <c r="AG31">
        <v>23</v>
      </c>
      <c r="AH31">
        <v>82203630000</v>
      </c>
      <c r="AI31">
        <v>100351751640</v>
      </c>
      <c r="AJ31">
        <v>18148121640</v>
      </c>
      <c r="AK31"/>
      <c r="AL31"/>
    </row>
    <row r="32" spans="1:38" x14ac:dyDescent="0.35">
      <c r="A32">
        <v>26</v>
      </c>
      <c r="B32" t="s">
        <v>31</v>
      </c>
      <c r="C32" t="s">
        <v>32</v>
      </c>
      <c r="D32" s="16">
        <v>133.8586270128288</v>
      </c>
      <c r="E32">
        <v>25638</v>
      </c>
      <c r="F32">
        <v>2126</v>
      </c>
      <c r="G32">
        <v>128.53529411764711</v>
      </c>
      <c r="H32">
        <v>11.664705882352941</v>
      </c>
      <c r="I32">
        <v>11.664705882352941</v>
      </c>
      <c r="J32">
        <v>10.42352941176471</v>
      </c>
      <c r="K32">
        <v>0.8294117647058824</v>
      </c>
      <c r="L32">
        <v>0.8294117647058824</v>
      </c>
      <c r="M32">
        <v>0.1764705882352941</v>
      </c>
      <c r="N32">
        <v>1.1764705882352939E-2</v>
      </c>
      <c r="O32">
        <v>0.18823529411764711</v>
      </c>
      <c r="P32">
        <v>128.2235294117647</v>
      </c>
      <c r="Q32" t="s">
        <v>37</v>
      </c>
      <c r="R32">
        <v>33.529411764705877</v>
      </c>
      <c r="S32" t="s">
        <v>57</v>
      </c>
      <c r="T32">
        <v>57.058823529411761</v>
      </c>
      <c r="U32" t="s">
        <v>44</v>
      </c>
      <c r="V32" s="18">
        <v>94.117647058823522</v>
      </c>
      <c r="W32" t="s">
        <v>39</v>
      </c>
      <c r="X32" s="26">
        <v>88.235294117647058</v>
      </c>
      <c r="Y32">
        <v>21851</v>
      </c>
      <c r="Z32">
        <v>1983</v>
      </c>
      <c r="AA32">
        <v>23834</v>
      </c>
      <c r="AB32">
        <v>1503</v>
      </c>
      <c r="AC32">
        <v>141</v>
      </c>
      <c r="AD32">
        <v>1772</v>
      </c>
      <c r="AE32">
        <v>30</v>
      </c>
      <c r="AF32">
        <v>2</v>
      </c>
      <c r="AG32">
        <v>32</v>
      </c>
      <c r="AH32">
        <v>89010300000</v>
      </c>
      <c r="AI32">
        <v>119147965480</v>
      </c>
      <c r="AJ32">
        <v>30137665480</v>
      </c>
      <c r="AK32"/>
      <c r="AL32"/>
    </row>
    <row r="33" spans="1:38" x14ac:dyDescent="0.35">
      <c r="A33">
        <v>11</v>
      </c>
      <c r="B33" t="s">
        <v>31</v>
      </c>
      <c r="C33" t="s">
        <v>32</v>
      </c>
      <c r="D33">
        <v>118.7362921691924</v>
      </c>
      <c r="E33">
        <v>25016</v>
      </c>
      <c r="F33">
        <v>2039</v>
      </c>
      <c r="G33">
        <v>125.6</v>
      </c>
      <c r="H33">
        <v>11.28235294117647</v>
      </c>
      <c r="I33">
        <v>11.28235294117647</v>
      </c>
      <c r="J33">
        <v>10.123529411764711</v>
      </c>
      <c r="K33">
        <v>0.71176470588235297</v>
      </c>
      <c r="L33">
        <v>0.71176470588235297</v>
      </c>
      <c r="M33">
        <v>0.1470588235294118</v>
      </c>
      <c r="N33">
        <v>0</v>
      </c>
      <c r="O33">
        <v>0.1470588235294118</v>
      </c>
      <c r="P33">
        <v>125.4235294117647</v>
      </c>
      <c r="Q33" t="s">
        <v>37</v>
      </c>
      <c r="R33">
        <v>33.529411764705877</v>
      </c>
      <c r="S33" t="s">
        <v>38</v>
      </c>
      <c r="T33">
        <v>54.117647058823529</v>
      </c>
      <c r="U33" t="s">
        <v>39</v>
      </c>
      <c r="V33">
        <v>88.235294117647058</v>
      </c>
      <c r="W33" t="s">
        <v>40</v>
      </c>
      <c r="X33">
        <v>76.470588235294116</v>
      </c>
      <c r="Y33">
        <v>21352</v>
      </c>
      <c r="Z33">
        <v>1918</v>
      </c>
      <c r="AA33">
        <v>23270</v>
      </c>
      <c r="AB33">
        <v>1500</v>
      </c>
      <c r="AC33">
        <v>121</v>
      </c>
      <c r="AD33">
        <v>1721</v>
      </c>
      <c r="AE33">
        <v>25</v>
      </c>
      <c r="AF33">
        <v>0</v>
      </c>
      <c r="AG33">
        <v>25</v>
      </c>
      <c r="AH33">
        <v>86915940000</v>
      </c>
      <c r="AI33">
        <v>103200764460</v>
      </c>
      <c r="AJ33">
        <v>16284824460</v>
      </c>
      <c r="AK33"/>
      <c r="AL33"/>
    </row>
    <row r="34" spans="1:38" x14ac:dyDescent="0.35">
      <c r="A34">
        <v>27</v>
      </c>
      <c r="B34" t="s">
        <v>31</v>
      </c>
      <c r="C34" t="s">
        <v>32</v>
      </c>
      <c r="D34">
        <v>130.57972255645319</v>
      </c>
      <c r="E34">
        <v>24889</v>
      </c>
      <c r="F34">
        <v>2080</v>
      </c>
      <c r="G34">
        <v>124.62941176470591</v>
      </c>
      <c r="H34">
        <v>11.482352941176471</v>
      </c>
      <c r="I34">
        <v>11.482352941176471</v>
      </c>
      <c r="J34">
        <v>10.111764705882351</v>
      </c>
      <c r="K34">
        <v>0.74705882352941178</v>
      </c>
      <c r="L34">
        <v>0.74705882352941178</v>
      </c>
      <c r="M34">
        <v>0.1764705882352941</v>
      </c>
      <c r="N34">
        <v>5.8823529411764714E-3</v>
      </c>
      <c r="O34">
        <v>0.18235294117647061</v>
      </c>
      <c r="P34">
        <v>124.35294117647059</v>
      </c>
      <c r="Q34" t="s">
        <v>37</v>
      </c>
      <c r="R34">
        <v>33.529411764705877</v>
      </c>
      <c r="S34" t="s">
        <v>68</v>
      </c>
      <c r="T34">
        <v>52.941176470588239</v>
      </c>
      <c r="U34" t="s">
        <v>43</v>
      </c>
      <c r="V34" s="15">
        <v>100</v>
      </c>
      <c r="W34" t="s">
        <v>39</v>
      </c>
      <c r="X34" s="26">
        <v>88.235294117647058</v>
      </c>
      <c r="Y34">
        <v>21187</v>
      </c>
      <c r="Z34">
        <v>1952</v>
      </c>
      <c r="AA34">
        <v>23139</v>
      </c>
      <c r="AB34">
        <v>1468</v>
      </c>
      <c r="AC34">
        <v>127</v>
      </c>
      <c r="AD34">
        <v>1719</v>
      </c>
      <c r="AE34">
        <v>30</v>
      </c>
      <c r="AF34">
        <v>1</v>
      </c>
      <c r="AG34">
        <v>31</v>
      </c>
      <c r="AH34">
        <v>86392350000</v>
      </c>
      <c r="AI34">
        <v>112810890940</v>
      </c>
      <c r="AJ34">
        <v>26418540940</v>
      </c>
      <c r="AK34"/>
      <c r="AL34"/>
    </row>
    <row r="35" spans="1:38" x14ac:dyDescent="0.35">
      <c r="A35">
        <v>20</v>
      </c>
      <c r="B35" t="s">
        <v>31</v>
      </c>
      <c r="C35" t="s">
        <v>32</v>
      </c>
      <c r="D35" s="16">
        <v>137.18662605943879</v>
      </c>
      <c r="E35">
        <v>25545</v>
      </c>
      <c r="F35">
        <v>2144</v>
      </c>
      <c r="G35">
        <v>128.0058823529412</v>
      </c>
      <c r="H35">
        <v>11.8</v>
      </c>
      <c r="I35">
        <v>11.8</v>
      </c>
      <c r="J35">
        <v>10.247058823529411</v>
      </c>
      <c r="K35">
        <v>0.80588235294117649</v>
      </c>
      <c r="L35">
        <v>0.80588235294117649</v>
      </c>
      <c r="M35">
        <v>0.20588235294117649</v>
      </c>
      <c r="N35">
        <v>5.8823529411764714E-3</v>
      </c>
      <c r="O35">
        <v>0.21176470588235291</v>
      </c>
      <c r="P35">
        <v>127.2882352941176</v>
      </c>
      <c r="Q35" t="s">
        <v>60</v>
      </c>
      <c r="R35">
        <v>34.117647058823529</v>
      </c>
      <c r="S35" t="s">
        <v>42</v>
      </c>
      <c r="T35">
        <v>59.411764705882362</v>
      </c>
      <c r="U35" t="s">
        <v>43</v>
      </c>
      <c r="V35" s="15">
        <v>100</v>
      </c>
      <c r="W35" t="s">
        <v>44</v>
      </c>
      <c r="X35" s="15">
        <v>94.117647058823522</v>
      </c>
      <c r="Y35">
        <v>21761</v>
      </c>
      <c r="Z35">
        <v>2006</v>
      </c>
      <c r="AA35">
        <v>23767</v>
      </c>
      <c r="AB35">
        <v>1461</v>
      </c>
      <c r="AC35">
        <v>137</v>
      </c>
      <c r="AD35">
        <v>1742</v>
      </c>
      <c r="AE35">
        <v>35</v>
      </c>
      <c r="AF35">
        <v>1</v>
      </c>
      <c r="AG35">
        <v>36</v>
      </c>
      <c r="AH35">
        <v>88486710000</v>
      </c>
      <c r="AI35">
        <v>121391931960</v>
      </c>
      <c r="AJ35">
        <v>32905221960</v>
      </c>
      <c r="AK35"/>
      <c r="AL35"/>
    </row>
    <row r="36" spans="1:38" x14ac:dyDescent="0.35">
      <c r="A36">
        <v>24</v>
      </c>
      <c r="B36" t="s">
        <v>31</v>
      </c>
      <c r="C36" t="s">
        <v>32</v>
      </c>
      <c r="D36" s="16">
        <v>118.7539145510046</v>
      </c>
      <c r="E36">
        <v>25158</v>
      </c>
      <c r="F36">
        <v>2135</v>
      </c>
      <c r="G36">
        <v>125.9</v>
      </c>
      <c r="H36">
        <v>11.8</v>
      </c>
      <c r="I36">
        <v>11.8</v>
      </c>
      <c r="J36">
        <v>10.147058823529409</v>
      </c>
      <c r="K36">
        <v>0.75882352941176467</v>
      </c>
      <c r="L36">
        <v>0.75882352941176467</v>
      </c>
      <c r="M36">
        <v>0.14117647058823529</v>
      </c>
      <c r="N36">
        <v>0</v>
      </c>
      <c r="O36">
        <v>0.14117647058823529</v>
      </c>
      <c r="P36">
        <v>125.6882352941176</v>
      </c>
      <c r="Q36" t="s">
        <v>60</v>
      </c>
      <c r="R36">
        <v>34.117647058823529</v>
      </c>
      <c r="S36" t="s">
        <v>66</v>
      </c>
      <c r="T36">
        <v>54.705882352941181</v>
      </c>
      <c r="U36" t="s">
        <v>39</v>
      </c>
      <c r="V36" s="16">
        <v>88.235294117647058</v>
      </c>
      <c r="W36" t="s">
        <v>35</v>
      </c>
      <c r="X36" s="16">
        <v>82.35294117647058</v>
      </c>
      <c r="Y36">
        <v>21403</v>
      </c>
      <c r="Z36">
        <v>2006</v>
      </c>
      <c r="AA36">
        <v>23409</v>
      </c>
      <c r="AB36">
        <v>1500</v>
      </c>
      <c r="AC36">
        <v>129</v>
      </c>
      <c r="AD36">
        <v>1725</v>
      </c>
      <c r="AE36">
        <v>24</v>
      </c>
      <c r="AF36">
        <v>0</v>
      </c>
      <c r="AG36">
        <v>24</v>
      </c>
      <c r="AH36">
        <v>87439530000</v>
      </c>
      <c r="AI36">
        <v>103837864740</v>
      </c>
      <c r="AJ36">
        <v>16398334740</v>
      </c>
      <c r="AK36"/>
      <c r="AL36"/>
    </row>
    <row r="37" spans="1:38" x14ac:dyDescent="0.35">
      <c r="A37">
        <v>14</v>
      </c>
      <c r="B37" t="s">
        <v>31</v>
      </c>
      <c r="C37" t="s">
        <v>32</v>
      </c>
      <c r="D37" s="16">
        <v>125.19842433965511</v>
      </c>
      <c r="E37">
        <v>25019</v>
      </c>
      <c r="F37">
        <v>2152</v>
      </c>
      <c r="G37">
        <v>125.12352941176469</v>
      </c>
      <c r="H37">
        <v>11.847058823529411</v>
      </c>
      <c r="I37">
        <v>11.847058823529411</v>
      </c>
      <c r="J37">
        <v>10.05294117647059</v>
      </c>
      <c r="K37">
        <v>0.8</v>
      </c>
      <c r="L37">
        <v>0.8</v>
      </c>
      <c r="M37">
        <v>0.13529411764705879</v>
      </c>
      <c r="N37">
        <v>1.1764705882352939E-2</v>
      </c>
      <c r="O37">
        <v>0.1470588235294118</v>
      </c>
      <c r="P37">
        <v>124.7529411764706</v>
      </c>
      <c r="Q37" t="s">
        <v>51</v>
      </c>
      <c r="R37">
        <v>34.705882352941167</v>
      </c>
      <c r="S37" t="s">
        <v>38</v>
      </c>
      <c r="T37">
        <v>54.117647058823529</v>
      </c>
      <c r="U37" t="s">
        <v>35</v>
      </c>
      <c r="V37">
        <v>82.35294117647058</v>
      </c>
      <c r="W37" t="s">
        <v>40</v>
      </c>
      <c r="X37">
        <v>76.470588235294116</v>
      </c>
      <c r="Y37">
        <v>21271</v>
      </c>
      <c r="Z37">
        <v>2014</v>
      </c>
      <c r="AA37">
        <v>23285</v>
      </c>
      <c r="AB37">
        <v>1473</v>
      </c>
      <c r="AC37">
        <v>136</v>
      </c>
      <c r="AD37">
        <v>1709</v>
      </c>
      <c r="AE37">
        <v>23</v>
      </c>
      <c r="AF37">
        <v>2</v>
      </c>
      <c r="AG37">
        <v>25</v>
      </c>
      <c r="AH37">
        <v>86915940000</v>
      </c>
      <c r="AI37">
        <v>108817387380</v>
      </c>
      <c r="AJ37">
        <v>21901447380</v>
      </c>
      <c r="AK37"/>
      <c r="AL37"/>
    </row>
    <row r="38" spans="1:38" x14ac:dyDescent="0.35">
      <c r="A38">
        <v>39</v>
      </c>
      <c r="B38" t="s">
        <v>31</v>
      </c>
      <c r="C38" t="s">
        <v>32</v>
      </c>
      <c r="D38">
        <v>118.81426385816781</v>
      </c>
      <c r="E38">
        <v>25628</v>
      </c>
      <c r="F38">
        <v>2163</v>
      </c>
      <c r="G38">
        <v>128.37647058823529</v>
      </c>
      <c r="H38">
        <v>11.929411764705881</v>
      </c>
      <c r="I38">
        <v>11.929411764705881</v>
      </c>
      <c r="J38">
        <v>10.31176470588235</v>
      </c>
      <c r="K38">
        <v>0.78823529411764703</v>
      </c>
      <c r="L38">
        <v>0.78823529411764703</v>
      </c>
      <c r="M38">
        <v>0.12941176470588239</v>
      </c>
      <c r="N38">
        <v>5.8823529411764714E-3</v>
      </c>
      <c r="O38">
        <v>0.13529411764705879</v>
      </c>
      <c r="P38">
        <v>128.1</v>
      </c>
      <c r="Q38" t="s">
        <v>51</v>
      </c>
      <c r="R38">
        <v>34.705882352941167</v>
      </c>
      <c r="S38" t="s">
        <v>38</v>
      </c>
      <c r="T38">
        <v>54.117647058823529</v>
      </c>
      <c r="U38" t="s">
        <v>40</v>
      </c>
      <c r="V38">
        <v>76.470588235294116</v>
      </c>
      <c r="W38" t="s">
        <v>36</v>
      </c>
      <c r="X38">
        <v>70.588235294117652</v>
      </c>
      <c r="Y38">
        <v>21824</v>
      </c>
      <c r="Z38">
        <v>2028</v>
      </c>
      <c r="AA38">
        <v>23852</v>
      </c>
      <c r="AB38">
        <v>1527</v>
      </c>
      <c r="AC38">
        <v>134</v>
      </c>
      <c r="AD38">
        <v>1753</v>
      </c>
      <c r="AE38">
        <v>22</v>
      </c>
      <c r="AF38">
        <v>1</v>
      </c>
      <c r="AG38">
        <v>23</v>
      </c>
      <c r="AH38">
        <v>89063000000</v>
      </c>
      <c r="AI38">
        <v>105819547820</v>
      </c>
      <c r="AJ38">
        <v>16756547820</v>
      </c>
      <c r="AK38"/>
      <c r="AL38"/>
    </row>
    <row r="39" spans="1:38" x14ac:dyDescent="0.35">
      <c r="A39">
        <v>47</v>
      </c>
      <c r="B39" t="s">
        <v>31</v>
      </c>
      <c r="C39" t="s">
        <v>32</v>
      </c>
      <c r="D39" s="16">
        <v>136.69600044882449</v>
      </c>
      <c r="E39">
        <v>24166</v>
      </c>
      <c r="F39">
        <v>1968</v>
      </c>
      <c r="G39">
        <v>121.39411764705881</v>
      </c>
      <c r="H39">
        <v>10.829411764705879</v>
      </c>
      <c r="I39">
        <v>10.829411764705879</v>
      </c>
      <c r="J39">
        <v>9.7411764705882344</v>
      </c>
      <c r="K39">
        <v>0.72941176470588232</v>
      </c>
      <c r="L39">
        <v>0.72941176470588232</v>
      </c>
      <c r="M39">
        <v>0.17058823529411771</v>
      </c>
      <c r="N39">
        <v>1.7647058823529412E-2</v>
      </c>
      <c r="O39">
        <v>0.18823529411764711</v>
      </c>
      <c r="P39">
        <v>120.87647058823531</v>
      </c>
      <c r="Q39" t="s">
        <v>51</v>
      </c>
      <c r="R39">
        <v>34.705882352941167</v>
      </c>
      <c r="S39" t="s">
        <v>59</v>
      </c>
      <c r="T39">
        <v>50</v>
      </c>
      <c r="U39" t="s">
        <v>35</v>
      </c>
      <c r="V39">
        <v>82.35294117647058</v>
      </c>
      <c r="W39" t="s">
        <v>36</v>
      </c>
      <c r="X39">
        <v>70.588235294117652</v>
      </c>
      <c r="Y39">
        <v>20637</v>
      </c>
      <c r="Z39">
        <v>1841</v>
      </c>
      <c r="AA39">
        <v>22478</v>
      </c>
      <c r="AB39">
        <v>1404</v>
      </c>
      <c r="AC39">
        <v>124</v>
      </c>
      <c r="AD39">
        <v>1656</v>
      </c>
      <c r="AE39">
        <v>29</v>
      </c>
      <c r="AF39">
        <v>3</v>
      </c>
      <c r="AG39">
        <v>32</v>
      </c>
      <c r="AH39">
        <v>83774400000</v>
      </c>
      <c r="AI39">
        <v>114516254200</v>
      </c>
      <c r="AJ39">
        <v>30741854200</v>
      </c>
      <c r="AK39"/>
      <c r="AL39"/>
    </row>
    <row r="40" spans="1:38" x14ac:dyDescent="0.35">
      <c r="A40">
        <v>22</v>
      </c>
      <c r="B40" t="s">
        <v>31</v>
      </c>
      <c r="C40" t="s">
        <v>32</v>
      </c>
      <c r="D40">
        <v>122.81038796633651</v>
      </c>
      <c r="E40">
        <v>25604</v>
      </c>
      <c r="F40">
        <v>2136</v>
      </c>
      <c r="G40">
        <v>128.16470588235291</v>
      </c>
      <c r="H40">
        <v>11.82352941176471</v>
      </c>
      <c r="I40">
        <v>11.82352941176471</v>
      </c>
      <c r="J40">
        <v>10.45882352941176</v>
      </c>
      <c r="K40">
        <v>0.74117647058823533</v>
      </c>
      <c r="L40">
        <v>0.74117647058823533</v>
      </c>
      <c r="M40">
        <v>0.1647058823529412</v>
      </c>
      <c r="N40">
        <v>0</v>
      </c>
      <c r="O40">
        <v>0.1647058823529412</v>
      </c>
      <c r="P40">
        <v>128.16470588235291</v>
      </c>
      <c r="Q40" t="s">
        <v>63</v>
      </c>
      <c r="R40">
        <v>35.294117647058833</v>
      </c>
      <c r="S40" t="s">
        <v>57</v>
      </c>
      <c r="T40">
        <v>57.058823529411761</v>
      </c>
      <c r="U40" t="s">
        <v>39</v>
      </c>
      <c r="V40" s="16">
        <v>88.235294117647058</v>
      </c>
      <c r="W40" t="s">
        <v>40</v>
      </c>
      <c r="X40" s="16">
        <v>76.470588235294116</v>
      </c>
      <c r="Y40">
        <v>21788</v>
      </c>
      <c r="Z40">
        <v>2010</v>
      </c>
      <c r="AA40">
        <v>23798</v>
      </c>
      <c r="AB40">
        <v>1540</v>
      </c>
      <c r="AC40">
        <v>126</v>
      </c>
      <c r="AD40">
        <v>1778</v>
      </c>
      <c r="AE40">
        <v>28</v>
      </c>
      <c r="AF40">
        <v>0</v>
      </c>
      <c r="AG40">
        <v>28</v>
      </c>
      <c r="AH40">
        <v>89010300000</v>
      </c>
      <c r="AI40">
        <v>109313894760</v>
      </c>
      <c r="AJ40">
        <v>20303594760</v>
      </c>
      <c r="AK40"/>
      <c r="AL40"/>
    </row>
    <row r="41" spans="1:38" x14ac:dyDescent="0.35">
      <c r="A41">
        <v>23</v>
      </c>
      <c r="B41" t="s">
        <v>31</v>
      </c>
      <c r="C41" t="s">
        <v>32</v>
      </c>
      <c r="D41">
        <v>118.2392508282749</v>
      </c>
      <c r="E41">
        <v>25603</v>
      </c>
      <c r="F41">
        <v>2167</v>
      </c>
      <c r="G41">
        <v>128.2176470588235</v>
      </c>
      <c r="H41">
        <v>11.929411764705881</v>
      </c>
      <c r="I41">
        <v>11.929411764705881</v>
      </c>
      <c r="J41">
        <v>10.329411764705879</v>
      </c>
      <c r="K41">
        <v>0.81176470588235294</v>
      </c>
      <c r="L41">
        <v>0.81176470588235294</v>
      </c>
      <c r="M41">
        <v>0.1235294117647059</v>
      </c>
      <c r="N41">
        <v>5.8823529411764714E-3</v>
      </c>
      <c r="O41">
        <v>0.12941176470588239</v>
      </c>
      <c r="P41">
        <v>127.9823529411765</v>
      </c>
      <c r="Q41" t="s">
        <v>63</v>
      </c>
      <c r="R41">
        <v>35.294117647058833</v>
      </c>
      <c r="S41" t="s">
        <v>64</v>
      </c>
      <c r="T41">
        <v>56.470588235294123</v>
      </c>
      <c r="U41" t="s">
        <v>39</v>
      </c>
      <c r="V41">
        <v>88.235294117647058</v>
      </c>
      <c r="W41" t="s">
        <v>65</v>
      </c>
      <c r="X41">
        <v>58.82352941176471</v>
      </c>
      <c r="Y41">
        <v>21797</v>
      </c>
      <c r="Z41">
        <v>2028</v>
      </c>
      <c r="AA41">
        <v>23825</v>
      </c>
      <c r="AB41">
        <v>1530</v>
      </c>
      <c r="AC41">
        <v>138</v>
      </c>
      <c r="AD41">
        <v>1756</v>
      </c>
      <c r="AE41">
        <v>21</v>
      </c>
      <c r="AF41">
        <v>1</v>
      </c>
      <c r="AG41">
        <v>22</v>
      </c>
      <c r="AH41">
        <v>89010300000</v>
      </c>
      <c r="AI41">
        <v>105245111880</v>
      </c>
      <c r="AJ41">
        <v>16234811880</v>
      </c>
      <c r="AK41"/>
      <c r="AL41"/>
    </row>
    <row r="42" spans="1:38" x14ac:dyDescent="0.35">
      <c r="A42">
        <v>49</v>
      </c>
      <c r="B42" t="s">
        <v>31</v>
      </c>
      <c r="C42" t="s">
        <v>32</v>
      </c>
      <c r="D42">
        <v>127.3463696033271</v>
      </c>
      <c r="E42">
        <v>24894</v>
      </c>
      <c r="F42">
        <v>2037</v>
      </c>
      <c r="G42">
        <v>125.0176470588235</v>
      </c>
      <c r="H42">
        <v>11.23529411764706</v>
      </c>
      <c r="I42">
        <v>11.23529411764706</v>
      </c>
      <c r="J42">
        <v>10.017647058823529</v>
      </c>
      <c r="K42">
        <v>0.73529411764705888</v>
      </c>
      <c r="L42">
        <v>0.73529411764705888</v>
      </c>
      <c r="M42">
        <v>0.15294117647058819</v>
      </c>
      <c r="N42">
        <v>1.1764705882352939E-2</v>
      </c>
      <c r="O42">
        <v>0.1647058823529412</v>
      </c>
      <c r="P42">
        <v>124.64705882352941</v>
      </c>
      <c r="Q42" t="s">
        <v>63</v>
      </c>
      <c r="R42">
        <v>35.294117647058833</v>
      </c>
      <c r="S42" t="s">
        <v>83</v>
      </c>
      <c r="T42">
        <v>50.588235294117638</v>
      </c>
      <c r="U42" t="s">
        <v>35</v>
      </c>
      <c r="V42">
        <v>82.35294117647058</v>
      </c>
      <c r="W42" t="s">
        <v>35</v>
      </c>
      <c r="X42">
        <v>82.35294117647058</v>
      </c>
      <c r="Y42">
        <v>21253</v>
      </c>
      <c r="Z42">
        <v>1910</v>
      </c>
      <c r="AA42">
        <v>23163</v>
      </c>
      <c r="AB42">
        <v>1466</v>
      </c>
      <c r="AC42">
        <v>125</v>
      </c>
      <c r="AD42">
        <v>1703</v>
      </c>
      <c r="AE42">
        <v>26</v>
      </c>
      <c r="AF42">
        <v>2</v>
      </c>
      <c r="AG42">
        <v>28</v>
      </c>
      <c r="AH42">
        <v>86392350000</v>
      </c>
      <c r="AI42">
        <v>110017521340</v>
      </c>
      <c r="AJ42">
        <v>23625171340</v>
      </c>
      <c r="AK42"/>
      <c r="AL42"/>
    </row>
    <row r="43" spans="1:38" x14ac:dyDescent="0.35">
      <c r="A43">
        <v>37</v>
      </c>
      <c r="B43" t="s">
        <v>31</v>
      </c>
      <c r="C43" t="s">
        <v>32</v>
      </c>
      <c r="D43">
        <v>113.64591373085091</v>
      </c>
      <c r="E43">
        <v>25139</v>
      </c>
      <c r="F43">
        <v>2103</v>
      </c>
      <c r="G43">
        <v>126.0705882352941</v>
      </c>
      <c r="H43">
        <v>11.54117647058824</v>
      </c>
      <c r="I43">
        <v>11.54117647058824</v>
      </c>
      <c r="J43">
        <v>10.152941176470589</v>
      </c>
      <c r="K43">
        <v>0.8294117647058824</v>
      </c>
      <c r="L43">
        <v>0.8294117647058824</v>
      </c>
      <c r="M43">
        <v>0.1117647058823529</v>
      </c>
      <c r="N43">
        <v>0</v>
      </c>
      <c r="O43">
        <v>0.1117647058823529</v>
      </c>
      <c r="P43">
        <v>125.9647058823529</v>
      </c>
      <c r="Q43" t="s">
        <v>76</v>
      </c>
      <c r="R43">
        <v>35.882352941176471</v>
      </c>
      <c r="S43" t="s">
        <v>66</v>
      </c>
      <c r="T43">
        <v>54.705882352941181</v>
      </c>
      <c r="U43" t="s">
        <v>35</v>
      </c>
      <c r="V43">
        <v>82.35294117647058</v>
      </c>
      <c r="W43" t="s">
        <v>71</v>
      </c>
      <c r="X43">
        <v>64.705882352941174</v>
      </c>
      <c r="Y43">
        <v>21432</v>
      </c>
      <c r="Z43">
        <v>1962</v>
      </c>
      <c r="AA43">
        <v>23394</v>
      </c>
      <c r="AB43">
        <v>1509</v>
      </c>
      <c r="AC43">
        <v>141</v>
      </c>
      <c r="AD43">
        <v>1726</v>
      </c>
      <c r="AE43">
        <v>19</v>
      </c>
      <c r="AF43">
        <v>0</v>
      </c>
      <c r="AG43">
        <v>19</v>
      </c>
      <c r="AH43">
        <v>87491300000</v>
      </c>
      <c r="AI43">
        <v>99430287320</v>
      </c>
      <c r="AJ43">
        <v>11938987320</v>
      </c>
      <c r="AK43"/>
      <c r="AL43"/>
    </row>
    <row r="44" spans="1:38" x14ac:dyDescent="0.35">
      <c r="A44">
        <v>28</v>
      </c>
      <c r="B44" t="s">
        <v>31</v>
      </c>
      <c r="C44" t="s">
        <v>32</v>
      </c>
      <c r="D44">
        <v>115.92259533313511</v>
      </c>
      <c r="E44">
        <v>25306</v>
      </c>
      <c r="F44">
        <v>2057</v>
      </c>
      <c r="G44">
        <v>127.13529411764711</v>
      </c>
      <c r="H44">
        <v>11.36470588235294</v>
      </c>
      <c r="I44">
        <v>11.36470588235294</v>
      </c>
      <c r="J44">
        <v>10.22352941176471</v>
      </c>
      <c r="K44">
        <v>0.73529411764705888</v>
      </c>
      <c r="L44">
        <v>0.73529411764705888</v>
      </c>
      <c r="M44">
        <v>0.13529411764705879</v>
      </c>
      <c r="N44">
        <v>0</v>
      </c>
      <c r="O44">
        <v>0.13529411764705879</v>
      </c>
      <c r="P44">
        <v>126.9705882352941</v>
      </c>
      <c r="Q44" t="s">
        <v>69</v>
      </c>
      <c r="R44">
        <v>36.470588235294123</v>
      </c>
      <c r="S44" t="s">
        <v>70</v>
      </c>
      <c r="T44">
        <v>45.882352941176471</v>
      </c>
      <c r="U44" t="s">
        <v>44</v>
      </c>
      <c r="V44" s="18">
        <v>94.117647058823522</v>
      </c>
      <c r="W44" t="s">
        <v>71</v>
      </c>
      <c r="X44">
        <v>64.705882352941174</v>
      </c>
      <c r="Y44">
        <v>21613</v>
      </c>
      <c r="Z44">
        <v>1932</v>
      </c>
      <c r="AA44">
        <v>23545</v>
      </c>
      <c r="AB44">
        <v>1521</v>
      </c>
      <c r="AC44">
        <v>125</v>
      </c>
      <c r="AD44">
        <v>1738</v>
      </c>
      <c r="AE44">
        <v>23</v>
      </c>
      <c r="AF44">
        <v>0</v>
      </c>
      <c r="AG44">
        <v>23</v>
      </c>
      <c r="AH44">
        <v>87963120000</v>
      </c>
      <c r="AI44">
        <v>101969131640</v>
      </c>
      <c r="AJ44">
        <v>14006011640</v>
      </c>
      <c r="AK44"/>
      <c r="AL44"/>
    </row>
    <row r="45" spans="1:38" x14ac:dyDescent="0.35">
      <c r="A45">
        <v>21</v>
      </c>
      <c r="B45" t="s">
        <v>31</v>
      </c>
      <c r="C45" t="s">
        <v>32</v>
      </c>
      <c r="D45">
        <v>134.95837259978961</v>
      </c>
      <c r="E45">
        <v>25371</v>
      </c>
      <c r="F45">
        <v>2134</v>
      </c>
      <c r="G45">
        <v>127.10588235294119</v>
      </c>
      <c r="H45">
        <v>11.77058823529412</v>
      </c>
      <c r="I45">
        <v>11.77058823529412</v>
      </c>
      <c r="J45">
        <v>10.18823529411765</v>
      </c>
      <c r="K45">
        <v>0.75294117647058822</v>
      </c>
      <c r="L45">
        <v>0.75294117647058822</v>
      </c>
      <c r="M45">
        <v>0.1470588235294118</v>
      </c>
      <c r="N45">
        <v>2.9411764705882349E-2</v>
      </c>
      <c r="O45">
        <v>0.1764705882352941</v>
      </c>
      <c r="P45">
        <v>126.5235294117647</v>
      </c>
      <c r="Q45" t="s">
        <v>61</v>
      </c>
      <c r="R45">
        <v>38.235294117647058</v>
      </c>
      <c r="S45" t="s">
        <v>62</v>
      </c>
      <c r="T45">
        <v>55.294117647058833</v>
      </c>
      <c r="U45" t="s">
        <v>39</v>
      </c>
      <c r="V45" s="16">
        <v>88.235294117647058</v>
      </c>
      <c r="W45" t="s">
        <v>36</v>
      </c>
      <c r="X45">
        <v>70.588235294117652</v>
      </c>
      <c r="Y45">
        <v>21608</v>
      </c>
      <c r="Z45">
        <v>2001</v>
      </c>
      <c r="AA45">
        <v>23609</v>
      </c>
      <c r="AB45">
        <v>1484</v>
      </c>
      <c r="AC45">
        <v>128</v>
      </c>
      <c r="AD45">
        <v>1732</v>
      </c>
      <c r="AE45">
        <v>25</v>
      </c>
      <c r="AF45">
        <v>5</v>
      </c>
      <c r="AG45">
        <v>30</v>
      </c>
      <c r="AH45">
        <v>87963120000</v>
      </c>
      <c r="AI45">
        <v>118713595240</v>
      </c>
      <c r="AJ45">
        <v>30750475240</v>
      </c>
      <c r="AK45"/>
      <c r="AL45"/>
    </row>
    <row r="46" spans="1:38" hidden="1" x14ac:dyDescent="0.35">
      <c r="A46">
        <v>53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hidden="1" x14ac:dyDescent="0.35">
      <c r="A47">
        <v>54</v>
      </c>
    </row>
    <row r="48" spans="1:38" hidden="1" x14ac:dyDescent="0.35">
      <c r="A48">
        <v>55</v>
      </c>
    </row>
    <row r="49" spans="1:1" hidden="1" x14ac:dyDescent="0.35">
      <c r="A49">
        <v>56</v>
      </c>
    </row>
    <row r="50" spans="1:1" hidden="1" x14ac:dyDescent="0.35">
      <c r="A50">
        <v>57</v>
      </c>
    </row>
    <row r="51" spans="1:1" hidden="1" x14ac:dyDescent="0.35">
      <c r="A51">
        <v>58</v>
      </c>
    </row>
    <row r="52" spans="1:1" hidden="1" x14ac:dyDescent="0.35">
      <c r="A52">
        <v>59</v>
      </c>
    </row>
    <row r="53" spans="1:1" hidden="1" x14ac:dyDescent="0.35">
      <c r="A53">
        <v>60</v>
      </c>
    </row>
  </sheetData>
  <autoFilter ref="A2:AM53" xr:uid="{00000000-0009-0000-0000-000000000000}">
    <filterColumn colId="2">
      <filters>
        <filter val="170"/>
      </filters>
    </filterColumn>
    <sortState ref="A3:AM45">
      <sortCondition ref="R2:R53"/>
    </sortState>
  </autoFilter>
  <mergeCells count="4">
    <mergeCell ref="Y1:AA1"/>
    <mergeCell ref="AE1:AG1"/>
    <mergeCell ref="AB1:AD1"/>
    <mergeCell ref="G1:P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"/>
  <sheetViews>
    <sheetView workbookViewId="0">
      <selection activeCell="F38" sqref="F38"/>
    </sheetView>
  </sheetViews>
  <sheetFormatPr defaultRowHeight="14.5" x14ac:dyDescent="0.35"/>
  <sheetData>
    <row r="1" spans="1:30" x14ac:dyDescent="0.35">
      <c r="A1">
        <v>43</v>
      </c>
      <c r="B1" t="s">
        <v>45</v>
      </c>
      <c r="C1" t="s">
        <v>46</v>
      </c>
      <c r="D1" t="s">
        <v>86</v>
      </c>
      <c r="E1" t="s">
        <v>87</v>
      </c>
      <c r="F1">
        <f>(E1-D1)</f>
        <v>44923036840</v>
      </c>
      <c r="G1">
        <f>(E1/D1)*100</f>
        <v>134.1825173113387</v>
      </c>
      <c r="H1">
        <v>37866</v>
      </c>
      <c r="I1">
        <f>(T1+W1+Z1)</f>
        <v>3107</v>
      </c>
      <c r="J1">
        <v>128.72111553784859</v>
      </c>
      <c r="K1">
        <v>11.58565737051793</v>
      </c>
      <c r="L1">
        <v>10.366533864541831</v>
      </c>
      <c r="M1">
        <v>0.77290836653386452</v>
      </c>
      <c r="N1">
        <v>0.16733067729083659</v>
      </c>
      <c r="O1">
        <v>1.9920318725099601E-2</v>
      </c>
      <c r="P1">
        <v>128.32270916334659</v>
      </c>
      <c r="Q1" t="s">
        <v>88</v>
      </c>
      <c r="R1">
        <v>32.270916334661351</v>
      </c>
      <c r="S1">
        <v>32309</v>
      </c>
      <c r="T1">
        <v>2908</v>
      </c>
      <c r="U1">
        <v>35217</v>
      </c>
      <c r="V1">
        <v>2220</v>
      </c>
      <c r="W1">
        <v>194</v>
      </c>
      <c r="X1">
        <v>2602</v>
      </c>
      <c r="Y1">
        <v>42</v>
      </c>
      <c r="Z1">
        <v>5</v>
      </c>
      <c r="AA1">
        <v>47</v>
      </c>
      <c r="AB1">
        <v>23</v>
      </c>
      <c r="AC1">
        <v>5</v>
      </c>
      <c r="AD1">
        <v>28</v>
      </c>
    </row>
    <row r="2" spans="1:30" x14ac:dyDescent="0.35">
      <c r="A2">
        <v>44</v>
      </c>
      <c r="B2" t="s">
        <v>45</v>
      </c>
      <c r="C2" t="s">
        <v>46</v>
      </c>
      <c r="D2" t="s">
        <v>86</v>
      </c>
      <c r="E2" t="s">
        <v>87</v>
      </c>
      <c r="F2">
        <f>(E2-D2)</f>
        <v>44923036840</v>
      </c>
      <c r="G2">
        <f>(E2/D2)*100</f>
        <v>134.1825173113387</v>
      </c>
      <c r="H2">
        <v>37866</v>
      </c>
      <c r="I2">
        <f>(T2+W2+Z2)</f>
        <v>3107</v>
      </c>
      <c r="J2">
        <v>128.72111553784859</v>
      </c>
      <c r="K2">
        <v>11.58565737051793</v>
      </c>
      <c r="L2">
        <v>10.366533864541831</v>
      </c>
      <c r="M2">
        <v>0.77290836653386452</v>
      </c>
      <c r="N2">
        <v>0.16733067729083659</v>
      </c>
      <c r="O2">
        <v>1.9920318725099601E-2</v>
      </c>
      <c r="P2">
        <v>128.32270916334659</v>
      </c>
      <c r="Q2" t="s">
        <v>88</v>
      </c>
      <c r="R2">
        <v>32.270916334661351</v>
      </c>
      <c r="S2">
        <v>32309</v>
      </c>
      <c r="T2">
        <v>2908</v>
      </c>
      <c r="U2">
        <v>35217</v>
      </c>
      <c r="V2">
        <v>2220</v>
      </c>
      <c r="W2">
        <v>194</v>
      </c>
      <c r="X2">
        <v>2602</v>
      </c>
      <c r="Y2">
        <v>42</v>
      </c>
      <c r="Z2">
        <v>5</v>
      </c>
      <c r="AA2">
        <v>47</v>
      </c>
      <c r="AB2">
        <v>23</v>
      </c>
      <c r="AC2">
        <v>5</v>
      </c>
      <c r="AD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2015-06-05T18:17:20Z</dcterms:created>
  <dcterms:modified xsi:type="dcterms:W3CDTF">2025-12-31T01:34:24Z</dcterms:modified>
</cp:coreProperties>
</file>